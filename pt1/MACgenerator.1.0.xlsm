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xampp\htdocs\pt\"/>
    </mc:Choice>
  </mc:AlternateContent>
  <bookViews>
    <workbookView xWindow="360" yWindow="180" windowWidth="28032" windowHeight="13848" activeTab="2"/>
  </bookViews>
  <sheets>
    <sheet name="MACC예제" sheetId="4" r:id="rId1"/>
    <sheet name="Sheet1" sheetId="1" r:id="rId2"/>
    <sheet name="MACC_input" sheetId="2" r:id="rId3"/>
    <sheet name="Sheet3" sheetId="3" r:id="rId4"/>
  </sheets>
  <definedNames>
    <definedName name="is_short">MACC_input!$B$3</definedName>
    <definedName name="legend_fontsize">MACC_input!$D$12</definedName>
    <definedName name="legend_left">MACC_input!$D$11</definedName>
    <definedName name="legend_top">MACC_input!$D$10</definedName>
    <definedName name="m_bottom">MACC_input!$D$5</definedName>
    <definedName name="m_left">MACC_input!$D$6</definedName>
    <definedName name="m_right">MACC_input!$D$7</definedName>
    <definedName name="m_top">MACC_input!$D$4</definedName>
    <definedName name="MACC_title">MACC_input!$H$4</definedName>
    <definedName name="MACC_title_fontsize">MACC_input!$H$6</definedName>
    <definedName name="MACC_title_location">MACC_input!$H$5</definedName>
    <definedName name="no_of_technique">MACC_input!$B$2</definedName>
    <definedName name="ppt_file_name">MACC_input!$B$1</definedName>
    <definedName name="ppt_height">MACC_input!$D$8</definedName>
    <definedName name="ppt_width">MACC_input!$D$9</definedName>
    <definedName name="start_of_tech">MACC_input!$A$18</definedName>
    <definedName name="x_label">MACC_input!$H$12</definedName>
    <definedName name="y_fontsize">MACC_input!$H$11</definedName>
    <definedName name="y_interval">MACC_input!$H$10</definedName>
    <definedName name="y_label">MACC_input!$H$7</definedName>
    <definedName name="y_max">MACC_input!$H$9</definedName>
    <definedName name="y_min">MACC_input!$H$8</definedName>
  </definedNames>
  <calcPr calcId="162913"/>
</workbook>
</file>

<file path=xl/calcChain.xml><?xml version="1.0" encoding="utf-8"?>
<calcChain xmlns="http://schemas.openxmlformats.org/spreadsheetml/2006/main">
  <c r="H4" i="2" l="1"/>
  <c r="C30" i="2" l="1"/>
  <c r="D30" i="2"/>
  <c r="K14" i="4"/>
  <c r="H14" i="4"/>
  <c r="G14" i="4"/>
  <c r="E14" i="4"/>
  <c r="K13" i="4"/>
  <c r="E13" i="4"/>
  <c r="H13" i="4" s="1"/>
  <c r="K12" i="4"/>
  <c r="E12" i="4"/>
  <c r="G12" i="4" s="1"/>
  <c r="K11" i="4"/>
  <c r="E11" i="4"/>
  <c r="G11" i="4" s="1"/>
  <c r="K10" i="4"/>
  <c r="E10" i="4"/>
  <c r="H10" i="4" s="1"/>
  <c r="K9" i="4"/>
  <c r="E9" i="4"/>
  <c r="H9" i="4" s="1"/>
  <c r="K8" i="4"/>
  <c r="H8" i="4"/>
  <c r="E8" i="4"/>
  <c r="G8" i="4" s="1"/>
  <c r="K7" i="4"/>
  <c r="E7" i="4"/>
  <c r="G7" i="4" s="1"/>
  <c r="K6" i="4"/>
  <c r="H6" i="4"/>
  <c r="E6" i="4"/>
  <c r="G6" i="4" s="1"/>
  <c r="K5" i="4"/>
  <c r="E5" i="4"/>
  <c r="H5" i="4" s="1"/>
  <c r="K4" i="4"/>
  <c r="E4" i="4"/>
  <c r="H4" i="4" s="1"/>
  <c r="D4" i="4"/>
  <c r="D5" i="4" s="1"/>
  <c r="K3" i="4"/>
  <c r="E3" i="4"/>
  <c r="G3" i="4" s="1"/>
  <c r="D3" i="4"/>
  <c r="F3" i="4" s="1"/>
  <c r="E2" i="4"/>
  <c r="H2" i="4" s="1"/>
  <c r="G2" i="4" l="1"/>
  <c r="H7" i="4"/>
  <c r="I5" i="4"/>
  <c r="D6" i="4"/>
  <c r="F5" i="4"/>
  <c r="F4" i="4"/>
  <c r="G4" i="4"/>
  <c r="H3" i="4"/>
  <c r="I4" i="4"/>
  <c r="G10" i="4"/>
  <c r="H11" i="4"/>
  <c r="G5" i="4"/>
  <c r="G13" i="4"/>
  <c r="H12" i="4"/>
  <c r="I3" i="4"/>
  <c r="G9" i="4"/>
  <c r="K8" i="1"/>
  <c r="K4" i="1"/>
  <c r="K5" i="1"/>
  <c r="K6" i="1"/>
  <c r="K7" i="1"/>
  <c r="K3" i="1"/>
  <c r="I6" i="4" l="1"/>
  <c r="F6" i="4"/>
  <c r="D7" i="4"/>
  <c r="E4" i="1"/>
  <c r="E5" i="1"/>
  <c r="E6" i="1"/>
  <c r="E7" i="1"/>
  <c r="E8" i="1"/>
  <c r="G8" i="1" s="1"/>
  <c r="E3" i="1"/>
  <c r="E2" i="1"/>
  <c r="D3" i="1"/>
  <c r="I3" i="1" s="1"/>
  <c r="D4" i="1" l="1"/>
  <c r="F3" i="1"/>
  <c r="H2" i="1"/>
  <c r="G2" i="1"/>
  <c r="G3" i="1"/>
  <c r="H3" i="1"/>
  <c r="H7" i="1"/>
  <c r="G7" i="1"/>
  <c r="G6" i="1"/>
  <c r="H6" i="1"/>
  <c r="G5" i="1"/>
  <c r="H5" i="1"/>
  <c r="G4" i="1"/>
  <c r="H4" i="1"/>
  <c r="F7" i="4"/>
  <c r="D8" i="4"/>
  <c r="I7" i="4"/>
  <c r="I4" i="1" l="1"/>
  <c r="F4" i="1"/>
  <c r="D5" i="1"/>
  <c r="D9" i="4"/>
  <c r="F8" i="4"/>
  <c r="I8" i="4"/>
  <c r="I5" i="1" l="1"/>
  <c r="F5" i="1"/>
  <c r="D6" i="1"/>
  <c r="D10" i="4"/>
  <c r="I9" i="4"/>
  <c r="F9" i="4"/>
  <c r="I6" i="1" l="1"/>
  <c r="D7" i="1"/>
  <c r="F6" i="1"/>
  <c r="I10" i="4"/>
  <c r="D11" i="4"/>
  <c r="F10" i="4"/>
  <c r="I7" i="1" l="1"/>
  <c r="D8" i="1"/>
  <c r="F7" i="1"/>
  <c r="D12" i="4"/>
  <c r="I11" i="4"/>
  <c r="F11" i="4"/>
  <c r="I8" i="1" l="1"/>
  <c r="F8" i="1"/>
  <c r="D13" i="4"/>
  <c r="F12" i="4"/>
  <c r="I12" i="4"/>
  <c r="I13" i="4" l="1"/>
  <c r="D14" i="4"/>
  <c r="F13" i="4"/>
  <c r="F14" i="4" l="1"/>
  <c r="I14" i="4"/>
</calcChain>
</file>

<file path=xl/comments1.xml><?xml version="1.0" encoding="utf-8"?>
<comments xmlns="http://schemas.openxmlformats.org/spreadsheetml/2006/main">
  <authors>
    <author>xp</author>
  </authors>
  <commentList>
    <comment ref="A18" authorId="0" shapeId="0">
      <text>
        <r>
          <rPr>
            <sz val="9"/>
            <color indexed="81"/>
            <rFont val="Tahoma"/>
            <family val="2"/>
          </rPr>
          <t>start_of_tech</t>
        </r>
      </text>
    </comment>
  </commentList>
</comments>
</file>

<file path=xl/sharedStrings.xml><?xml version="1.0" encoding="utf-8"?>
<sst xmlns="http://schemas.openxmlformats.org/spreadsheetml/2006/main" count="161" uniqueCount="121">
  <si>
    <t>Variable Width Columns</t>
  </si>
  <si>
    <t>%Share</t>
  </si>
  <si>
    <t>Cost (£)</t>
  </si>
  <si>
    <t>Gas</t>
  </si>
  <si>
    <t>Electricity</t>
  </si>
  <si>
    <t>Water</t>
  </si>
  <si>
    <t>Food</t>
  </si>
  <si>
    <t>Travel</t>
  </si>
  <si>
    <t>Other</t>
  </si>
  <si>
    <t>X</t>
  </si>
  <si>
    <t>Y</t>
  </si>
  <si>
    <t>Top</t>
  </si>
  <si>
    <t>Down</t>
  </si>
  <si>
    <t>Up</t>
  </si>
  <si>
    <t>ScaleLabel X</t>
  </si>
  <si>
    <t>ScaleLabel Y</t>
  </si>
  <si>
    <t>ScaleLabel Text</t>
  </si>
  <si>
    <t>감축기술</t>
    <phoneticPr fontId="5" type="noConversion"/>
  </si>
  <si>
    <t>총감축량</t>
    <phoneticPr fontId="5" type="noConversion"/>
  </si>
  <si>
    <t>CE</t>
  </si>
  <si>
    <t>C2</t>
    <phoneticPr fontId="5" type="noConversion"/>
  </si>
  <si>
    <t>C4</t>
  </si>
  <si>
    <t>C1</t>
    <phoneticPr fontId="5" type="noConversion"/>
  </si>
  <si>
    <t>L1</t>
    <phoneticPr fontId="5" type="noConversion"/>
  </si>
  <si>
    <t>L8</t>
  </si>
  <si>
    <t>L4</t>
  </si>
  <si>
    <t>C5</t>
  </si>
  <si>
    <t>L7</t>
  </si>
  <si>
    <t>C3</t>
  </si>
  <si>
    <t>L9</t>
  </si>
  <si>
    <t>C6</t>
  </si>
  <si>
    <t>L6</t>
  </si>
  <si>
    <t>감축기술</t>
  </si>
  <si>
    <t>short name</t>
    <phoneticPr fontId="5" type="noConversion"/>
  </si>
  <si>
    <t>Fuel efficiency in commercial vehicle</t>
    <phoneticPr fontId="5" type="noConversion"/>
  </si>
  <si>
    <t>lighting systems</t>
    <phoneticPr fontId="5" type="noConversion"/>
  </si>
  <si>
    <t>air-conditioning</t>
    <phoneticPr fontId="5" type="noConversion"/>
  </si>
  <si>
    <t>industrial feed stock substitution</t>
    <phoneticPr fontId="5" type="noConversion"/>
  </si>
  <si>
    <t>CCS(Carbon Capture and Storage)</t>
    <phoneticPr fontId="5" type="noConversion"/>
  </si>
  <si>
    <t>Coal-to-Gas Shift</t>
    <phoneticPr fontId="5" type="noConversion"/>
  </si>
  <si>
    <t>Efficiency improvement abccccc</t>
    <phoneticPr fontId="5" type="noConversion"/>
  </si>
  <si>
    <t>자발적 감축</t>
    <phoneticPr fontId="5" type="noConversion"/>
  </si>
  <si>
    <t>걷기 운동</t>
    <phoneticPr fontId="5" type="noConversion"/>
  </si>
  <si>
    <t>Y-Axis</t>
    <phoneticPr fontId="5" type="noConversion"/>
  </si>
  <si>
    <t>X-Axis Label</t>
    <phoneticPr fontId="5" type="noConversion"/>
  </si>
  <si>
    <t>Label</t>
    <phoneticPr fontId="5" type="noConversion"/>
  </si>
  <si>
    <t>Min</t>
    <phoneticPr fontId="5" type="noConversion"/>
  </si>
  <si>
    <t>Max</t>
    <phoneticPr fontId="5" type="noConversion"/>
  </si>
  <si>
    <t>interval</t>
    <phoneticPr fontId="5" type="noConversion"/>
  </si>
  <si>
    <t>CE (Yuan/tCO2e)</t>
    <phoneticPr fontId="5" type="noConversion"/>
  </si>
  <si>
    <t>감축량 (MtCO2e)</t>
    <phoneticPr fontId="5" type="noConversion"/>
  </si>
  <si>
    <t>no of techniques</t>
    <phoneticPr fontId="5" type="noConversion"/>
  </si>
  <si>
    <t>background color</t>
    <phoneticPr fontId="5" type="noConversion"/>
  </si>
  <si>
    <t>R</t>
    <phoneticPr fontId="5" type="noConversion"/>
  </si>
  <si>
    <t>G</t>
    <phoneticPr fontId="5" type="noConversion"/>
  </si>
  <si>
    <t>B</t>
    <phoneticPr fontId="5" type="noConversion"/>
  </si>
  <si>
    <t>alice blue</t>
  </si>
  <si>
    <t>#F0F8FF</t>
  </si>
  <si>
    <t>antique white</t>
  </si>
  <si>
    <t>#FAEBD7</t>
  </si>
  <si>
    <t>antique white 1</t>
  </si>
  <si>
    <t>#FFEFDB</t>
  </si>
  <si>
    <t>antique white 2</t>
  </si>
  <si>
    <t>#EEDFCC</t>
  </si>
  <si>
    <t>antique white 3</t>
  </si>
  <si>
    <t>#CDC0B0</t>
  </si>
  <si>
    <t>antique white 4</t>
  </si>
  <si>
    <t>#8B8378</t>
  </si>
  <si>
    <t>aqua*</t>
  </si>
  <si>
    <t>#00FFFF</t>
  </si>
  <si>
    <t>aquamarine 1</t>
  </si>
  <si>
    <t>#7FFFD4</t>
  </si>
  <si>
    <t>aquamarine 2</t>
  </si>
  <si>
    <t>#76EEC6</t>
  </si>
  <si>
    <t>aquamarine 3</t>
  </si>
  <si>
    <t>#66CDAA</t>
  </si>
  <si>
    <t>aquamarine 4</t>
  </si>
  <si>
    <t>#458B74</t>
  </si>
  <si>
    <t>azure 1</t>
  </si>
  <si>
    <t>#F0FFFF</t>
  </si>
  <si>
    <t>azure 2</t>
  </si>
  <si>
    <t>#E0EEEE</t>
  </si>
  <si>
    <t>azure 3</t>
  </si>
  <si>
    <t>#C1CDCD</t>
  </si>
  <si>
    <t>azure 4</t>
  </si>
  <si>
    <t>#838B8B</t>
  </si>
  <si>
    <t>accuprobe</t>
  </si>
  <si>
    <t>#A70050</t>
  </si>
  <si>
    <t>abc</t>
    <phoneticPr fontId="5" type="noConversion"/>
  </si>
  <si>
    <t>MACC_title</t>
    <phoneticPr fontId="5" type="noConversion"/>
  </si>
  <si>
    <t>location</t>
    <phoneticPr fontId="5" type="noConversion"/>
  </si>
  <si>
    <t>font_size</t>
    <phoneticPr fontId="5" type="noConversion"/>
  </si>
  <si>
    <t>top</t>
    <phoneticPr fontId="5" type="noConversion"/>
  </si>
  <si>
    <t>top</t>
    <phoneticPr fontId="5" type="noConversion"/>
  </si>
  <si>
    <t>bottom</t>
    <phoneticPr fontId="5" type="noConversion"/>
  </si>
  <si>
    <t>left</t>
    <phoneticPr fontId="5" type="noConversion"/>
  </si>
  <si>
    <t>right</t>
    <phoneticPr fontId="5" type="noConversion"/>
  </si>
  <si>
    <t>pixels</t>
    <phoneticPr fontId="5" type="noConversion"/>
  </si>
  <si>
    <t>pixels</t>
    <phoneticPr fontId="5" type="noConversion"/>
  </si>
  <si>
    <t>height</t>
    <phoneticPr fontId="5" type="noConversion"/>
  </si>
  <si>
    <t>width</t>
    <phoneticPr fontId="5" type="noConversion"/>
  </si>
  <si>
    <t>full name legend</t>
    <phoneticPr fontId="5" type="noConversion"/>
  </si>
  <si>
    <t>left</t>
    <phoneticPr fontId="5" type="noConversion"/>
  </si>
  <si>
    <t>fontsize</t>
    <phoneticPr fontId="5" type="noConversion"/>
  </si>
  <si>
    <t>full name
legend</t>
    <phoneticPr fontId="5" type="noConversion"/>
  </si>
  <si>
    <t>MAC curve
margins</t>
    <phoneticPr fontId="5" type="noConversion"/>
  </si>
  <si>
    <t>ppt
size</t>
    <phoneticPr fontId="5" type="noConversion"/>
  </si>
  <si>
    <t>ssssdddd</t>
    <phoneticPr fontId="2" type="noConversion"/>
  </si>
  <si>
    <t>avc</t>
    <phoneticPr fontId="2" type="noConversion"/>
  </si>
  <si>
    <t>PowerPoint 파일명</t>
    <phoneticPr fontId="5" type="noConversion"/>
  </si>
  <si>
    <t>top/bottom</t>
    <phoneticPr fontId="5" type="noConversion"/>
  </si>
  <si>
    <t>R</t>
    <phoneticPr fontId="5" type="noConversion"/>
  </si>
  <si>
    <t>G</t>
    <phoneticPr fontId="5" type="noConversion"/>
  </si>
  <si>
    <t>B</t>
    <phoneticPr fontId="5" type="noConversion"/>
  </si>
  <si>
    <t>http://www.endprod.com/colors/</t>
    <phoneticPr fontId="5" type="noConversion"/>
  </si>
  <si>
    <t>파일 - 옵션 - 리본 메뉴 사용자 지정 - 개발도구</t>
    <phoneticPr fontId="5" type="noConversion"/>
  </si>
  <si>
    <t>Visual basic -Tools - References - Microsoft Office 14.0 Object Library( or 16.0)</t>
    <phoneticPr fontId="5" type="noConversion"/>
  </si>
  <si>
    <t>Visual basic - Tools - References - Microsoft PowerPoint 14.0 Object Library(or 16.0)</t>
    <phoneticPr fontId="5" type="noConversion"/>
  </si>
  <si>
    <t>Visual basic - 도구 - 참조 - Microsoft PowerPoint 14.0 Object Library(or 16.0)</t>
    <phoneticPr fontId="5" type="noConversion"/>
  </si>
  <si>
    <t>Visual basic - 도구 - 참조 - Microsoft Office 14.0 Object Library(or 16.0)</t>
    <phoneticPr fontId="5" type="noConversion"/>
  </si>
  <si>
    <t>C:\xampp\htdocs\pt\MAC.pptx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</si>
</sst>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&quot;£&quot;* #,##0.00_);_(&quot;£&quot;* \(#,##0.00\);_(&quot;£&quot;* &quot;-&quot;??_);_(@_)"/>
    <numFmt numFmtId="177" formatCode="0_ "/>
  </numFmts>
  <fonts count="15"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돋움"/>
      <family val="3"/>
      <charset val="129"/>
    </font>
    <font>
      <sz val="8"/>
      <name val="돋움"/>
      <family val="3"/>
      <charset val="129"/>
    </font>
    <font>
      <sz val="10"/>
      <color rgb="FF000000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sz val="11"/>
      <color theme="1"/>
      <name val="Times New Roman"/>
      <family val="1"/>
    </font>
    <font>
      <sz val="11"/>
      <color theme="1"/>
      <name val="Arial Unicode MS"/>
      <family val="3"/>
      <charset val="129"/>
    </font>
    <font>
      <sz val="9"/>
      <color theme="1"/>
      <name val="한컴돋움"/>
      <family val="1"/>
      <charset val="129"/>
    </font>
    <font>
      <u/>
      <sz val="11"/>
      <color theme="1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A70050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1" fillId="0" borderId="0" xfId="1"/>
    <xf numFmtId="0" fontId="1" fillId="2" borderId="1" xfId="1" applyFill="1" applyBorder="1"/>
    <xf numFmtId="0" fontId="1" fillId="2" borderId="2" xfId="1" applyFill="1" applyBorder="1"/>
    <xf numFmtId="0" fontId="1" fillId="2" borderId="3" xfId="1" applyFill="1" applyBorder="1"/>
    <xf numFmtId="176" fontId="1" fillId="2" borderId="4" xfId="3" applyFont="1" applyFill="1" applyBorder="1"/>
    <xf numFmtId="0" fontId="1" fillId="2" borderId="5" xfId="1" applyFill="1" applyBorder="1"/>
    <xf numFmtId="176" fontId="1" fillId="2" borderId="6" xfId="3" applyFont="1" applyFill="1" applyBorder="1"/>
    <xf numFmtId="9" fontId="1" fillId="2" borderId="1" xfId="2" applyNumberFormat="1" applyFont="1" applyFill="1" applyBorder="1"/>
    <xf numFmtId="176" fontId="1" fillId="2" borderId="7" xfId="3" applyFont="1" applyFill="1" applyBorder="1"/>
    <xf numFmtId="9" fontId="1" fillId="2" borderId="3" xfId="2" applyNumberFormat="1" applyFont="1" applyFill="1" applyBorder="1"/>
    <xf numFmtId="9" fontId="1" fillId="2" borderId="5" xfId="2" applyNumberFormat="1" applyFont="1" applyFill="1" applyBorder="1"/>
    <xf numFmtId="0" fontId="1" fillId="3" borderId="1" xfId="1" applyFill="1" applyBorder="1"/>
    <xf numFmtId="0" fontId="1" fillId="3" borderId="7" xfId="1" applyFill="1" applyBorder="1"/>
    <xf numFmtId="0" fontId="1" fillId="4" borderId="8" xfId="1" applyFill="1" applyBorder="1"/>
    <xf numFmtId="0" fontId="1" fillId="5" borderId="1" xfId="1" applyFill="1" applyBorder="1"/>
    <xf numFmtId="0" fontId="1" fillId="5" borderId="7" xfId="1" applyFill="1" applyBorder="1"/>
    <xf numFmtId="0" fontId="1" fillId="6" borderId="1" xfId="1" applyFill="1" applyBorder="1"/>
    <xf numFmtId="0" fontId="1" fillId="6" borderId="2" xfId="1" applyFill="1" applyBorder="1"/>
    <xf numFmtId="0" fontId="1" fillId="6" borderId="7" xfId="1" applyFill="1" applyBorder="1"/>
    <xf numFmtId="10" fontId="0" fillId="0" borderId="0" xfId="4" applyNumberFormat="1" applyFont="1" applyAlignment="1">
      <alignment horizontal="right" vertical="center"/>
    </xf>
    <xf numFmtId="0" fontId="4" fillId="0" borderId="0" xfId="1" applyFont="1" applyBorder="1" applyAlignment="1">
      <alignment horizontal="center"/>
    </xf>
    <xf numFmtId="0" fontId="1" fillId="3" borderId="9" xfId="1" applyFill="1" applyBorder="1" applyAlignment="1">
      <alignment horizontal="center"/>
    </xf>
    <xf numFmtId="0" fontId="1" fillId="4" borderId="9" xfId="1" applyFill="1" applyBorder="1" applyAlignment="1">
      <alignment horizontal="center"/>
    </xf>
    <xf numFmtId="0" fontId="1" fillId="5" borderId="9" xfId="1" applyFill="1" applyBorder="1" applyAlignment="1">
      <alignment horizontal="center"/>
    </xf>
    <xf numFmtId="0" fontId="1" fillId="6" borderId="9" xfId="1" applyFill="1" applyBorder="1" applyAlignment="1">
      <alignment horizontal="center"/>
    </xf>
    <xf numFmtId="0" fontId="4" fillId="0" borderId="0" xfId="1" applyFont="1" applyAlignment="1">
      <alignment horizontal="center"/>
    </xf>
    <xf numFmtId="0" fontId="4" fillId="0" borderId="9" xfId="1" applyFont="1" applyBorder="1" applyAlignment="1">
      <alignment horizontal="center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1" fillId="3" borderId="9" xfId="1" applyNumberFormat="1" applyFill="1" applyBorder="1"/>
    <xf numFmtId="0" fontId="1" fillId="4" borderId="9" xfId="1" applyNumberFormat="1" applyFill="1" applyBorder="1"/>
    <xf numFmtId="0" fontId="1" fillId="5" borderId="9" xfId="1" applyNumberFormat="1" applyFill="1" applyBorder="1"/>
    <xf numFmtId="0" fontId="1" fillId="6" borderId="9" xfId="1" applyNumberFormat="1" applyFill="1" applyBorder="1"/>
    <xf numFmtId="0" fontId="6" fillId="0" borderId="12" xfId="1" applyFont="1" applyBorder="1" applyAlignment="1">
      <alignment horizontal="center" vertical="center" wrapText="1"/>
    </xf>
    <xf numFmtId="3" fontId="6" fillId="0" borderId="13" xfId="1" applyNumberFormat="1" applyFont="1" applyBorder="1" applyAlignment="1">
      <alignment horizontal="center" vertical="center" wrapText="1"/>
    </xf>
    <xf numFmtId="3" fontId="1" fillId="5" borderId="9" xfId="1" applyNumberFormat="1" applyFill="1" applyBorder="1"/>
    <xf numFmtId="0" fontId="6" fillId="0" borderId="13" xfId="1" applyFont="1" applyBorder="1" applyAlignment="1">
      <alignment horizontal="center" vertical="center" wrapText="1"/>
    </xf>
    <xf numFmtId="3" fontId="0" fillId="0" borderId="0" xfId="0" applyNumberFormat="1">
      <alignment vertical="center"/>
    </xf>
    <xf numFmtId="0" fontId="4" fillId="0" borderId="9" xfId="1" applyFont="1" applyBorder="1" applyAlignment="1">
      <alignment horizontal="center" vertical="center"/>
    </xf>
    <xf numFmtId="177" fontId="7" fillId="0" borderId="0" xfId="0" applyNumberFormat="1" applyFont="1" applyFill="1" applyBorder="1" applyAlignment="1"/>
    <xf numFmtId="177" fontId="7" fillId="4" borderId="9" xfId="0" applyNumberFormat="1" applyFont="1" applyFill="1" applyBorder="1" applyAlignment="1">
      <alignment vertical="center"/>
    </xf>
    <xf numFmtId="177" fontId="7" fillId="4" borderId="18" xfId="0" applyNumberFormat="1" applyFont="1" applyFill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22" xfId="0" applyBorder="1" applyAlignment="1">
      <alignment vertical="center" wrapText="1"/>
    </xf>
    <xf numFmtId="0" fontId="0" fillId="8" borderId="22" xfId="0" applyFill="1" applyBorder="1" applyAlignment="1">
      <alignment vertical="center" wrapText="1"/>
    </xf>
    <xf numFmtId="0" fontId="0" fillId="9" borderId="22" xfId="0" applyFill="1" applyBorder="1" applyAlignment="1">
      <alignment vertical="center" wrapText="1"/>
    </xf>
    <xf numFmtId="0" fontId="0" fillId="10" borderId="22" xfId="0" applyFill="1" applyBorder="1" applyAlignment="1">
      <alignment vertical="center" wrapText="1"/>
    </xf>
    <xf numFmtId="0" fontId="0" fillId="11" borderId="22" xfId="0" applyFill="1" applyBorder="1" applyAlignment="1">
      <alignment vertical="center" wrapText="1"/>
    </xf>
    <xf numFmtId="0" fontId="0" fillId="12" borderId="22" xfId="0" applyFill="1" applyBorder="1" applyAlignment="1">
      <alignment vertical="center" wrapText="1"/>
    </xf>
    <xf numFmtId="0" fontId="0" fillId="13" borderId="22" xfId="0" applyFill="1" applyBorder="1" applyAlignment="1">
      <alignment vertical="center" wrapText="1"/>
    </xf>
    <xf numFmtId="0" fontId="0" fillId="7" borderId="22" xfId="0" applyFill="1" applyBorder="1" applyAlignment="1">
      <alignment vertical="center" wrapText="1"/>
    </xf>
    <xf numFmtId="0" fontId="0" fillId="14" borderId="22" xfId="0" applyFill="1" applyBorder="1" applyAlignment="1">
      <alignment vertical="center" wrapText="1"/>
    </xf>
    <xf numFmtId="0" fontId="0" fillId="15" borderId="22" xfId="0" applyFill="1" applyBorder="1" applyAlignment="1">
      <alignment vertical="center" wrapText="1"/>
    </xf>
    <xf numFmtId="0" fontId="0" fillId="16" borderId="22" xfId="0" applyFill="1" applyBorder="1" applyAlignment="1">
      <alignment vertical="center" wrapText="1"/>
    </xf>
    <xf numFmtId="0" fontId="0" fillId="17" borderId="22" xfId="0" applyFill="1" applyBorder="1" applyAlignment="1">
      <alignment vertical="center" wrapText="1"/>
    </xf>
    <xf numFmtId="0" fontId="0" fillId="18" borderId="22" xfId="0" applyFill="1" applyBorder="1" applyAlignment="1">
      <alignment vertical="center" wrapText="1"/>
    </xf>
    <xf numFmtId="0" fontId="0" fillId="19" borderId="22" xfId="0" applyFill="1" applyBorder="1" applyAlignment="1">
      <alignment vertical="center" wrapText="1"/>
    </xf>
    <xf numFmtId="0" fontId="0" fillId="20" borderId="22" xfId="0" applyFill="1" applyBorder="1" applyAlignment="1">
      <alignment vertical="center" wrapText="1"/>
    </xf>
    <xf numFmtId="0" fontId="0" fillId="21" borderId="22" xfId="0" applyFill="1" applyBorder="1" applyAlignment="1">
      <alignment vertical="center" wrapText="1"/>
    </xf>
    <xf numFmtId="0" fontId="0" fillId="22" borderId="22" xfId="0" applyFill="1" applyBorder="1" applyAlignment="1">
      <alignment vertical="center" wrapText="1"/>
    </xf>
    <xf numFmtId="3" fontId="6" fillId="8" borderId="13" xfId="1" applyNumberFormat="1" applyFont="1" applyFill="1" applyBorder="1" applyAlignment="1">
      <alignment horizontal="center" vertical="center" wrapText="1"/>
    </xf>
    <xf numFmtId="3" fontId="6" fillId="9" borderId="13" xfId="1" applyNumberFormat="1" applyFont="1" applyFill="1" applyBorder="1" applyAlignment="1">
      <alignment horizontal="center" vertical="center" wrapText="1"/>
    </xf>
    <xf numFmtId="3" fontId="6" fillId="10" borderId="13" xfId="1" applyNumberFormat="1" applyFont="1" applyFill="1" applyBorder="1" applyAlignment="1">
      <alignment horizontal="center" vertical="center" wrapText="1"/>
    </xf>
    <xf numFmtId="3" fontId="6" fillId="11" borderId="13" xfId="1" applyNumberFormat="1" applyFont="1" applyFill="1" applyBorder="1" applyAlignment="1">
      <alignment horizontal="center" vertical="center" wrapText="1"/>
    </xf>
    <xf numFmtId="3" fontId="6" fillId="12" borderId="13" xfId="1" applyNumberFormat="1" applyFont="1" applyFill="1" applyBorder="1" applyAlignment="1">
      <alignment horizontal="center" vertical="center" wrapText="1"/>
    </xf>
    <xf numFmtId="3" fontId="6" fillId="13" borderId="13" xfId="1" applyNumberFormat="1" applyFont="1" applyFill="1" applyBorder="1" applyAlignment="1">
      <alignment horizontal="center" vertical="center" wrapText="1"/>
    </xf>
    <xf numFmtId="3" fontId="6" fillId="7" borderId="13" xfId="1" applyNumberFormat="1" applyFont="1" applyFill="1" applyBorder="1" applyAlignment="1">
      <alignment horizontal="center" vertical="center" wrapText="1"/>
    </xf>
    <xf numFmtId="3" fontId="6" fillId="14" borderId="13" xfId="1" applyNumberFormat="1" applyFont="1" applyFill="1" applyBorder="1" applyAlignment="1">
      <alignment horizontal="center" vertical="center" wrapText="1"/>
    </xf>
    <xf numFmtId="3" fontId="6" fillId="15" borderId="13" xfId="1" applyNumberFormat="1" applyFont="1" applyFill="1" applyBorder="1" applyAlignment="1">
      <alignment horizontal="center" vertical="center" wrapText="1"/>
    </xf>
    <xf numFmtId="3" fontId="6" fillId="16" borderId="13" xfId="1" applyNumberFormat="1" applyFont="1" applyFill="1" applyBorder="1" applyAlignment="1">
      <alignment horizontal="center" vertical="center" wrapText="1"/>
    </xf>
    <xf numFmtId="3" fontId="6" fillId="17" borderId="13" xfId="1" applyNumberFormat="1" applyFont="1" applyFill="1" applyBorder="1" applyAlignment="1">
      <alignment horizontal="center" vertical="center" wrapText="1"/>
    </xf>
    <xf numFmtId="3" fontId="6" fillId="18" borderId="13" xfId="1" applyNumberFormat="1" applyFont="1" applyFill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/>
    </xf>
    <xf numFmtId="9" fontId="7" fillId="4" borderId="9" xfId="4" applyFont="1" applyFill="1" applyBorder="1" applyAlignment="1">
      <alignment vertical="center"/>
    </xf>
    <xf numFmtId="0" fontId="7" fillId="4" borderId="9" xfId="4" applyNumberFormat="1" applyFont="1" applyFill="1" applyBorder="1" applyAlignme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4" fillId="23" borderId="9" xfId="1" applyFont="1" applyFill="1" applyBorder="1" applyAlignment="1">
      <alignment horizontal="center" vertical="center"/>
    </xf>
    <xf numFmtId="0" fontId="6" fillId="23" borderId="10" xfId="1" applyFont="1" applyFill="1" applyBorder="1" applyAlignment="1">
      <alignment horizontal="center" vertical="center" wrapText="1"/>
    </xf>
    <xf numFmtId="0" fontId="6" fillId="23" borderId="11" xfId="1" applyFont="1" applyFill="1" applyBorder="1" applyAlignment="1">
      <alignment horizontal="center" vertical="center" wrapText="1"/>
    </xf>
    <xf numFmtId="0" fontId="6" fillId="23" borderId="19" xfId="1" applyFont="1" applyFill="1" applyBorder="1" applyAlignment="1">
      <alignment horizontal="center" vertical="center" wrapText="1"/>
    </xf>
    <xf numFmtId="0" fontId="6" fillId="23" borderId="20" xfId="1" applyFont="1" applyFill="1" applyBorder="1" applyAlignment="1">
      <alignment horizontal="center" vertical="center" wrapText="1"/>
    </xf>
    <xf numFmtId="0" fontId="6" fillId="23" borderId="21" xfId="1" applyFont="1" applyFill="1" applyBorder="1" applyAlignment="1">
      <alignment horizontal="center" vertical="center" wrapText="1"/>
    </xf>
    <xf numFmtId="0" fontId="4" fillId="23" borderId="18" xfId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3" fillId="0" borderId="0" xfId="5">
      <alignment vertical="center"/>
    </xf>
    <xf numFmtId="0" fontId="14" fillId="0" borderId="0" xfId="0" applyFont="1">
      <alignment vertical="center"/>
    </xf>
    <xf numFmtId="177" fontId="7" fillId="4" borderId="15" xfId="0" applyNumberFormat="1" applyFont="1" applyFill="1" applyBorder="1" applyAlignment="1">
      <alignment horizontal="left" vertical="center"/>
    </xf>
    <xf numFmtId="177" fontId="7" fillId="4" borderId="16" xfId="0" applyNumberFormat="1" applyFont="1" applyFill="1" applyBorder="1" applyAlignment="1">
      <alignment horizontal="left" vertical="center"/>
    </xf>
    <xf numFmtId="177" fontId="7" fillId="4" borderId="17" xfId="0" applyNumberFormat="1" applyFont="1" applyFill="1" applyBorder="1" applyAlignment="1">
      <alignment horizontal="left" vertical="center"/>
    </xf>
    <xf numFmtId="0" fontId="4" fillId="0" borderId="8" xfId="1" applyFont="1" applyBorder="1" applyAlignment="1">
      <alignment horizontal="center" vertical="center"/>
    </xf>
    <xf numFmtId="0" fontId="4" fillId="0" borderId="23" xfId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 wrapText="1"/>
    </xf>
    <xf numFmtId="0" fontId="4" fillId="0" borderId="23" xfId="1" applyFont="1" applyBorder="1" applyAlignment="1">
      <alignment horizontal="center" vertical="center" wrapText="1"/>
    </xf>
    <xf numFmtId="0" fontId="4" fillId="0" borderId="18" xfId="1" applyFont="1" applyBorder="1" applyAlignment="1">
      <alignment horizontal="center" vertical="center" wrapText="1"/>
    </xf>
    <xf numFmtId="177" fontId="7" fillId="0" borderId="8" xfId="0" applyNumberFormat="1" applyFont="1" applyFill="1" applyBorder="1" applyAlignment="1">
      <alignment horizontal="center" vertical="center" wrapText="1"/>
    </xf>
    <xf numFmtId="177" fontId="7" fillId="0" borderId="18" xfId="0" applyNumberFormat="1" applyFont="1" applyFill="1" applyBorder="1" applyAlignment="1">
      <alignment horizontal="center" vertical="center" wrapText="1"/>
    </xf>
    <xf numFmtId="177" fontId="7" fillId="0" borderId="23" xfId="0" applyNumberFormat="1" applyFont="1" applyFill="1" applyBorder="1" applyAlignment="1">
      <alignment horizontal="center" vertical="center" wrapText="1"/>
    </xf>
  </cellXfs>
  <cellStyles count="6">
    <cellStyle name="백분율" xfId="4" builtinId="5"/>
    <cellStyle name="백분율 2" xfId="2"/>
    <cellStyle name="통화 2" xfId="3"/>
    <cellStyle name="표준" xfId="0" builtinId="0"/>
    <cellStyle name="표준 2" xfId="1"/>
    <cellStyle name="하이퍼링크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37147442980263"/>
          <c:y val="0.11177904648711363"/>
          <c:w val="0.82154433059235399"/>
          <c:h val="0.78722357818480238"/>
        </c:manualLayout>
      </c:layout>
      <c:scatterChart>
        <c:scatterStyle val="lineMarker"/>
        <c:varyColors val="0"/>
        <c:ser>
          <c:idx val="1"/>
          <c:order val="0"/>
          <c:tx>
            <c:v>감축기술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5637578168312417E-2"/>
                  <c:y val="2.6954177897574125E-2"/>
                </c:manualLayout>
              </c:layout>
              <c:tx>
                <c:strRef>
                  <c:f>MACC예제!$A$3</c:f>
                  <c:strCache>
                    <c:ptCount val="1"/>
                    <c:pt idx="0">
                      <c:v>C2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{EE21A6AA-7F50-4C12-9E63-D8EEC79AF851}</c15:txfldGUID>
                      <c15:f>MACC예제!$A$3</c15:f>
                      <c15:dlblFieldTableCache>
                        <c:ptCount val="1"/>
                        <c:pt idx="0">
                          <c:v>C2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5BB-427F-93D3-52BEAB5086BC}"/>
                </c:ext>
              </c:extLst>
            </c:dLbl>
            <c:dLbl>
              <c:idx val="1"/>
              <c:layout>
                <c:manualLayout>
                  <c:x val="-2.9576524500168663E-2"/>
                  <c:y val="2.6954177897574125E-2"/>
                </c:manualLayout>
              </c:layout>
              <c:tx>
                <c:strRef>
                  <c:f>MACC예제!$A$4</c:f>
                  <c:strCache>
                    <c:ptCount val="1"/>
                    <c:pt idx="0">
                      <c:v>C4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{60F34A35-0E10-489C-BA0E-EA997E82A53D}</c15:txfldGUID>
                      <c15:f>MACC예제!$A$4</c15:f>
                      <c15:dlblFieldTableCache>
                        <c:ptCount val="1"/>
                        <c:pt idx="0">
                          <c:v>C4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5BB-427F-93D3-52BEAB5086BC}"/>
                </c:ext>
              </c:extLst>
            </c:dLbl>
            <c:dLbl>
              <c:idx val="2"/>
              <c:layout>
                <c:manualLayout>
                  <c:x val="-2.9576524500168646E-2"/>
                  <c:y val="3.0547785300422289E-2"/>
                </c:manualLayout>
              </c:layout>
              <c:tx>
                <c:strRef>
                  <c:f>MACC예제!$A$5</c:f>
                  <c:strCache>
                    <c:ptCount val="1"/>
                    <c:pt idx="0">
                      <c:v>C1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{5CBC434D-D6A4-49C4-B31A-B589126DED89}</c15:txfldGUID>
                      <c15:f>MACC예제!$A$5</c15:f>
                      <c15:dlblFieldTableCache>
                        <c:ptCount val="1"/>
                        <c:pt idx="0">
                          <c:v>C1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5BB-427F-93D3-52BEAB5086BC}"/>
                </c:ext>
              </c:extLst>
            </c:dLbl>
            <c:dLbl>
              <c:idx val="3"/>
              <c:tx>
                <c:strRef>
                  <c:f>MACC예제!$A$6</c:f>
                  <c:strCache>
                    <c:ptCount val="1"/>
                    <c:pt idx="0">
                      <c:v>L1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{3A1440DB-B247-4975-A3B3-6D7D6B6C8482}</c15:txfldGUID>
                      <c15:f>MACC예제!$A$6</c15:f>
                      <c15:dlblFieldTableCache>
                        <c:ptCount val="1"/>
                        <c:pt idx="0">
                          <c:v>L1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5BB-427F-93D3-52BEAB5086BC}"/>
                </c:ext>
              </c:extLst>
            </c:dLbl>
            <c:dLbl>
              <c:idx val="4"/>
              <c:tx>
                <c:strRef>
                  <c:f>MACC예제!$A$7</c:f>
                  <c:strCache>
                    <c:ptCount val="1"/>
                    <c:pt idx="0">
                      <c:v>L8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{429ED55A-2CBE-4703-9770-4E8ACD176D9D}</c15:txfldGUID>
                      <c15:f>MACC예제!$A$7</c15:f>
                      <c15:dlblFieldTableCache>
                        <c:ptCount val="1"/>
                        <c:pt idx="0">
                          <c:v>L8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5BB-427F-93D3-52BEAB5086BC}"/>
                </c:ext>
              </c:extLst>
            </c:dLbl>
            <c:dLbl>
              <c:idx val="5"/>
              <c:tx>
                <c:strRef>
                  <c:f>MACC예제!$A$8</c:f>
                  <c:strCache>
                    <c:ptCount val="1"/>
                    <c:pt idx="0">
                      <c:v>L4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{73D70E47-D5BB-462B-9CBF-FC4047167D95}</c15:txfldGUID>
                      <c15:f>MACC예제!$A$8</c15:f>
                      <c15:dlblFieldTableCache>
                        <c:ptCount val="1"/>
                        <c:pt idx="0">
                          <c:v>L4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5BB-427F-93D3-52BEAB5086BC}"/>
                </c:ext>
              </c:extLst>
            </c:dLbl>
            <c:dLbl>
              <c:idx val="6"/>
              <c:tx>
                <c:strRef>
                  <c:f>MACC예제!$A$9</c:f>
                  <c:strCache>
                    <c:ptCount val="1"/>
                    <c:pt idx="0">
                      <c:v>C5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{49322FE2-1CE7-4B6D-B630-101774DA19DC}</c15:txfldGUID>
                      <c15:f>MACC예제!$A$9</c15:f>
                      <c15:dlblFieldTableCache>
                        <c:ptCount val="1"/>
                        <c:pt idx="0">
                          <c:v>C5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B5BB-427F-93D3-52BEAB5086BC}"/>
                </c:ext>
              </c:extLst>
            </c:dLbl>
            <c:dLbl>
              <c:idx val="7"/>
              <c:tx>
                <c:strRef>
                  <c:f>MACC예제!$A$10</c:f>
                  <c:strCache>
                    <c:ptCount val="1"/>
                    <c:pt idx="0">
                      <c:v>L7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{5C0FA3D9-89B7-4706-8380-53825AAB2377}</c15:txfldGUID>
                      <c15:f>MACC예제!$A$10</c15:f>
                      <c15:dlblFieldTableCache>
                        <c:ptCount val="1"/>
                        <c:pt idx="0">
                          <c:v>L7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B5BB-427F-93D3-52BEAB5086BC}"/>
                </c:ext>
              </c:extLst>
            </c:dLbl>
            <c:dLbl>
              <c:idx val="8"/>
              <c:tx>
                <c:strRef>
                  <c:f>MACC예제!$A$11</c:f>
                  <c:strCache>
                    <c:ptCount val="1"/>
                    <c:pt idx="0">
                      <c:v>C3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{10D8AA2B-A81B-49E2-8E3C-F8F2D8C62163}</c15:txfldGUID>
                      <c15:f>MACC예제!$A$11</c15:f>
                      <c15:dlblFieldTableCache>
                        <c:ptCount val="1"/>
                        <c:pt idx="0">
                          <c:v>C3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B5BB-427F-93D3-52BEAB5086BC}"/>
                </c:ext>
              </c:extLst>
            </c:dLbl>
            <c:dLbl>
              <c:idx val="9"/>
              <c:tx>
                <c:strRef>
                  <c:f>MACC예제!$A$12</c:f>
                  <c:strCache>
                    <c:ptCount val="1"/>
                    <c:pt idx="0">
                      <c:v>L9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{C8A99E55-E3E3-4734-97E9-EA7243DA29D6}</c15:txfldGUID>
                      <c15:f>MACC예제!$A$12</c15:f>
                      <c15:dlblFieldTableCache>
                        <c:ptCount val="1"/>
                        <c:pt idx="0">
                          <c:v>L9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B5BB-427F-93D3-52BEAB5086BC}"/>
                </c:ext>
              </c:extLst>
            </c:dLbl>
            <c:dLbl>
              <c:idx val="10"/>
              <c:tx>
                <c:strRef>
                  <c:f>MACC예제!$A$13</c:f>
                  <c:strCache>
                    <c:ptCount val="1"/>
                    <c:pt idx="0">
                      <c:v>C6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{5FC1E031-A717-4BBE-8BF1-8B211E90F963}</c15:txfldGUID>
                      <c15:f>MACC예제!$A$13</c15:f>
                      <c15:dlblFieldTableCache>
                        <c:ptCount val="1"/>
                        <c:pt idx="0">
                          <c:v>C6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B5BB-427F-93D3-52BEAB5086BC}"/>
                </c:ext>
              </c:extLst>
            </c:dLbl>
            <c:dLbl>
              <c:idx val="11"/>
              <c:tx>
                <c:strRef>
                  <c:f>MACC예제!$A$14</c:f>
                  <c:strCache>
                    <c:ptCount val="1"/>
                    <c:pt idx="0">
                      <c:v>L6</c:v>
                    </c:pt>
                  </c:strCache>
                </c:strRef>
              </c:tx>
              <c:spPr/>
              <c:txPr>
                <a:bodyPr rot="0" vert="horz" anchor="ctr" anchorCtr="1"/>
                <a:lstStyle/>
                <a:p>
                  <a:pPr>
                    <a:defRPr sz="1000" b="0" i="0" strike="noStrike">
                      <a:latin typeface="돋움"/>
                    </a:defRPr>
                  </a:pPr>
                  <a:endParaRPr lang="ko-K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{C1114467-D227-4F64-94FE-CF7356774176}</c15:txfldGUID>
                      <c15:f>MACC예제!$A$14</c15:f>
                      <c15:dlblFieldTableCache>
                        <c:ptCount val="1"/>
                        <c:pt idx="0">
                          <c:v>L6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B5BB-427F-93D3-52BEAB5086BC}"/>
                </c:ext>
              </c:extLst>
            </c:dLbl>
            <c:numFmt formatCode="#,##0_ " sourceLinked="0"/>
            <c:spPr>
              <a:noFill/>
              <a:ln>
                <a:noFill/>
              </a:ln>
              <a:effectLst/>
            </c:spPr>
            <c:txPr>
              <a:bodyPr rot="0" vert="horz" anchor="ctr" anchorCtr="1"/>
              <a:lstStyle/>
              <a:p>
                <a:pPr>
                  <a:defRPr/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MACC예제!$I$3:$I$14</c:f>
              <c:numCache>
                <c:formatCode>General</c:formatCode>
                <c:ptCount val="12"/>
                <c:pt idx="0">
                  <c:v>5.69</c:v>
                </c:pt>
                <c:pt idx="1">
                  <c:v>22.310000000000002</c:v>
                </c:pt>
                <c:pt idx="2">
                  <c:v>48.564999999999998</c:v>
                </c:pt>
                <c:pt idx="3">
                  <c:v>93.22</c:v>
                </c:pt>
                <c:pt idx="4">
                  <c:v>142.935</c:v>
                </c:pt>
                <c:pt idx="5">
                  <c:v>174.91</c:v>
                </c:pt>
                <c:pt idx="6">
                  <c:v>194.26999999999998</c:v>
                </c:pt>
                <c:pt idx="7">
                  <c:v>232.43</c:v>
                </c:pt>
                <c:pt idx="8">
                  <c:v>274.81</c:v>
                </c:pt>
                <c:pt idx="9">
                  <c:v>312.15999999999997</c:v>
                </c:pt>
                <c:pt idx="10">
                  <c:v>357.61500000000001</c:v>
                </c:pt>
                <c:pt idx="11">
                  <c:v>388.45499999999998</c:v>
                </c:pt>
              </c:numCache>
            </c:numRef>
          </c:xVal>
          <c:yVal>
            <c:numRef>
              <c:f>MACC예제!$C$3:$C$14</c:f>
              <c:numCache>
                <c:formatCode>#,##0</c:formatCode>
                <c:ptCount val="12"/>
                <c:pt idx="0">
                  <c:v>-3085</c:v>
                </c:pt>
                <c:pt idx="1">
                  <c:v>-1883</c:v>
                </c:pt>
                <c:pt idx="2" formatCode="General">
                  <c:v>-435</c:v>
                </c:pt>
                <c:pt idx="3" formatCode="General">
                  <c:v>-32</c:v>
                </c:pt>
                <c:pt idx="4" formatCode="General">
                  <c:v>89</c:v>
                </c:pt>
                <c:pt idx="5" formatCode="General">
                  <c:v>98</c:v>
                </c:pt>
                <c:pt idx="6" formatCode="General">
                  <c:v>231</c:v>
                </c:pt>
                <c:pt idx="7" formatCode="General">
                  <c:v>281</c:v>
                </c:pt>
                <c:pt idx="8" formatCode="General">
                  <c:v>347</c:v>
                </c:pt>
                <c:pt idx="9" formatCode="General">
                  <c:v>362</c:v>
                </c:pt>
                <c:pt idx="10">
                  <c:v>1576</c:v>
                </c:pt>
                <c:pt idx="11">
                  <c:v>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5BB-427F-93D3-52BEAB5086BC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none"/>
          </c:marker>
          <c:errBars>
            <c:errDir val="x"/>
            <c:errBarType val="minus"/>
            <c:errValType val="cust"/>
            <c:noEndCap val="1"/>
            <c:minus>
              <c:numRef>
                <c:f>MACC예제!$F$2:$F$14</c:f>
                <c:numCache>
                  <c:formatCode>General</c:formatCode>
                  <c:ptCount val="13"/>
                  <c:pt idx="1">
                    <c:v>11.38</c:v>
                  </c:pt>
                  <c:pt idx="2">
                    <c:v>21.86</c:v>
                  </c:pt>
                  <c:pt idx="3">
                    <c:v>30.65</c:v>
                  </c:pt>
                  <c:pt idx="4">
                    <c:v>58.66</c:v>
                  </c:pt>
                  <c:pt idx="5">
                    <c:v>40.769999999999996</c:v>
                  </c:pt>
                  <c:pt idx="6">
                    <c:v>23.180000000000007</c:v>
                  </c:pt>
                  <c:pt idx="7">
                    <c:v>15.539999999999992</c:v>
                  </c:pt>
                  <c:pt idx="8">
                    <c:v>60.78</c:v>
                  </c:pt>
                  <c:pt idx="9">
                    <c:v>23.980000000000018</c:v>
                  </c:pt>
                  <c:pt idx="10">
                    <c:v>50.71999999999997</c:v>
                  </c:pt>
                  <c:pt idx="11">
                    <c:v>40.19</c:v>
                  </c:pt>
                  <c:pt idx="12">
                    <c:v>21.490000000000009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MACC예제!$H$2:$H$14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1202</c:v>
                  </c:pt>
                  <c:pt idx="2">
                    <c:v>1448</c:v>
                  </c:pt>
                  <c:pt idx="3">
                    <c:v>403</c:v>
                  </c:pt>
                  <c:pt idx="4">
                    <c:v>121</c:v>
                  </c:pt>
                  <c:pt idx="5">
                    <c:v>9</c:v>
                  </c:pt>
                  <c:pt idx="6">
                    <c:v>133</c:v>
                  </c:pt>
                  <c:pt idx="7">
                    <c:v>50</c:v>
                  </c:pt>
                  <c:pt idx="8">
                    <c:v>66</c:v>
                  </c:pt>
                  <c:pt idx="9">
                    <c:v>15</c:v>
                  </c:pt>
                  <c:pt idx="10">
                    <c:v>1214</c:v>
                  </c:pt>
                  <c:pt idx="11">
                    <c:v>675</c:v>
                  </c:pt>
                  <c:pt idx="12">
                    <c:v>-2251</c:v>
                  </c:pt>
                </c:numCache>
              </c:numRef>
            </c:plus>
            <c:minus>
              <c:numRef>
                <c:f>MACC예제!$G$2:$G$14</c:f>
                <c:numCache>
                  <c:formatCode>General</c:formatCode>
                  <c:ptCount val="13"/>
                  <c:pt idx="0">
                    <c:v>-3085</c:v>
                  </c:pt>
                  <c:pt idx="1">
                    <c:v>-3085</c:v>
                  </c:pt>
                  <c:pt idx="2">
                    <c:v>-1883</c:v>
                  </c:pt>
                  <c:pt idx="3">
                    <c:v>-435</c:v>
                  </c:pt>
                  <c:pt idx="4">
                    <c:v>-32</c:v>
                  </c:pt>
                  <c:pt idx="5">
                    <c:v>89</c:v>
                  </c:pt>
                  <c:pt idx="6">
                    <c:v>98</c:v>
                  </c:pt>
                  <c:pt idx="7">
                    <c:v>231</c:v>
                  </c:pt>
                  <c:pt idx="8">
                    <c:v>281</c:v>
                  </c:pt>
                  <c:pt idx="9">
                    <c:v>347</c:v>
                  </c:pt>
                  <c:pt idx="10">
                    <c:v>362</c:v>
                  </c:pt>
                  <c:pt idx="11">
                    <c:v>1576</c:v>
                  </c:pt>
                  <c:pt idx="12">
                    <c:v>2251</c:v>
                  </c:pt>
                </c:numCache>
              </c:numRef>
            </c:minus>
            <c:spPr>
              <a:ln w="3175">
                <a:solidFill>
                  <a:srgbClr val="000000"/>
                </a:solidFill>
                <a:prstDash val="solid"/>
              </a:ln>
            </c:spPr>
          </c:errBars>
          <c:xVal>
            <c:numRef>
              <c:f>MACC예제!$D$2:$D$14</c:f>
              <c:numCache>
                <c:formatCode>General</c:formatCode>
                <c:ptCount val="13"/>
                <c:pt idx="0">
                  <c:v>0</c:v>
                </c:pt>
                <c:pt idx="1">
                  <c:v>11.38</c:v>
                </c:pt>
                <c:pt idx="2">
                  <c:v>33.24</c:v>
                </c:pt>
                <c:pt idx="3">
                  <c:v>63.89</c:v>
                </c:pt>
                <c:pt idx="4">
                  <c:v>122.55</c:v>
                </c:pt>
                <c:pt idx="5">
                  <c:v>163.32</c:v>
                </c:pt>
                <c:pt idx="6">
                  <c:v>186.5</c:v>
                </c:pt>
                <c:pt idx="7">
                  <c:v>202.04</c:v>
                </c:pt>
                <c:pt idx="8">
                  <c:v>262.82</c:v>
                </c:pt>
                <c:pt idx="9">
                  <c:v>286.8</c:v>
                </c:pt>
                <c:pt idx="10">
                  <c:v>337.52</c:v>
                </c:pt>
                <c:pt idx="11">
                  <c:v>377.71</c:v>
                </c:pt>
                <c:pt idx="12">
                  <c:v>399.2</c:v>
                </c:pt>
              </c:numCache>
            </c:numRef>
          </c:xVal>
          <c:yVal>
            <c:numRef>
              <c:f>MACC예제!$E$2:$E$14</c:f>
              <c:numCache>
                <c:formatCode>General</c:formatCode>
                <c:ptCount val="13"/>
                <c:pt idx="0">
                  <c:v>-3085</c:v>
                </c:pt>
                <c:pt idx="1">
                  <c:v>-3085</c:v>
                </c:pt>
                <c:pt idx="2">
                  <c:v>-1883</c:v>
                </c:pt>
                <c:pt idx="3">
                  <c:v>-435</c:v>
                </c:pt>
                <c:pt idx="4">
                  <c:v>-32</c:v>
                </c:pt>
                <c:pt idx="5">
                  <c:v>89</c:v>
                </c:pt>
                <c:pt idx="6">
                  <c:v>98</c:v>
                </c:pt>
                <c:pt idx="7">
                  <c:v>231</c:v>
                </c:pt>
                <c:pt idx="8">
                  <c:v>281</c:v>
                </c:pt>
                <c:pt idx="9">
                  <c:v>347</c:v>
                </c:pt>
                <c:pt idx="10">
                  <c:v>362</c:v>
                </c:pt>
                <c:pt idx="11">
                  <c:v>1576</c:v>
                </c:pt>
                <c:pt idx="12">
                  <c:v>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5BB-427F-93D3-52BEAB508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64768"/>
        <c:axId val="193697280"/>
      </c:scatterChart>
      <c:valAx>
        <c:axId val="1724647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9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altLang="ko-KR" sz="900">
                    <a:latin typeface="Arial" panose="020B0604020202020204" pitchFamily="34" charset="0"/>
                    <a:cs typeface="Arial" panose="020B0604020202020204" pitchFamily="34" charset="0"/>
                  </a:rPr>
                  <a:t>CE (Yuan/tCO2e)</a:t>
                </a:r>
                <a:endParaRPr lang="ko-KR" altLang="en-US" sz="9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8139739548804551E-2"/>
              <c:y val="3.6468931949544044E-2"/>
            </c:manualLayout>
          </c:layout>
          <c:overlay val="0"/>
        </c:title>
        <c:numFmt formatCode="General" sourceLinked="1"/>
        <c:majorTickMark val="cross"/>
        <c:minorTickMark val="none"/>
        <c:tickLblPos val="none"/>
        <c:crossAx val="193697280"/>
        <c:crosses val="autoZero"/>
        <c:crossBetween val="midCat"/>
      </c:valAx>
      <c:valAx>
        <c:axId val="19369728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9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ko-KR" altLang="en-US" sz="900">
                    <a:latin typeface="Arial" panose="020B0604020202020204" pitchFamily="34" charset="0"/>
                    <a:cs typeface="Arial" panose="020B0604020202020204" pitchFamily="34" charset="0"/>
                  </a:rPr>
                  <a:t>감축량 </a:t>
                </a:r>
                <a:r>
                  <a:rPr lang="en-US" altLang="ko-KR" sz="900">
                    <a:latin typeface="Arial" panose="020B0604020202020204" pitchFamily="34" charset="0"/>
                    <a:cs typeface="Arial" panose="020B0604020202020204" pitchFamily="34" charset="0"/>
                  </a:rPr>
                  <a:t>(M</a:t>
                </a:r>
                <a:r>
                  <a:rPr lang="en-US" altLang="en-US" sz="900">
                    <a:latin typeface="Arial" panose="020B0604020202020204" pitchFamily="34" charset="0"/>
                    <a:cs typeface="Arial" panose="020B0604020202020204" pitchFamily="34" charset="0"/>
                  </a:rPr>
                  <a:t>tCO2e)</a:t>
                </a:r>
              </a:p>
            </c:rich>
          </c:tx>
          <c:layout>
            <c:manualLayout>
              <c:xMode val="edge"/>
              <c:yMode val="edge"/>
              <c:x val="0.41949778434268831"/>
              <c:y val="0.5300269541778975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72464768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Sheet1!$H$2:$H$7</c:f>
                <c:numCache>
                  <c:formatCode>General</c:formatCode>
                  <c:ptCount val="6"/>
                  <c:pt idx="0">
                    <c:v>0</c:v>
                  </c:pt>
                  <c:pt idx="1">
                    <c:v>-37.5</c:v>
                  </c:pt>
                  <c:pt idx="2">
                    <c:v>-22.5</c:v>
                  </c:pt>
                  <c:pt idx="3">
                    <c:v>135</c:v>
                  </c:pt>
                  <c:pt idx="4">
                    <c:v>-172.5</c:v>
                  </c:pt>
                  <c:pt idx="5">
                    <c:v>67.5</c:v>
                  </c:pt>
                </c:numCache>
              </c:numRef>
            </c:plus>
            <c:minus>
              <c:numRef>
                <c:f>Sheet1!$G$2:$G$8</c:f>
                <c:numCache>
                  <c:formatCode>General</c:formatCode>
                  <c:ptCount val="7"/>
                  <c:pt idx="0">
                    <c:v>150</c:v>
                  </c:pt>
                  <c:pt idx="1">
                    <c:v>150</c:v>
                  </c:pt>
                  <c:pt idx="2">
                    <c:v>112.5</c:v>
                  </c:pt>
                  <c:pt idx="3">
                    <c:v>90</c:v>
                  </c:pt>
                  <c:pt idx="4">
                    <c:v>225</c:v>
                  </c:pt>
                  <c:pt idx="5">
                    <c:v>52.5</c:v>
                  </c:pt>
                  <c:pt idx="6">
                    <c:v>120</c:v>
                  </c:pt>
                </c:numCache>
              </c:numRef>
            </c:minus>
          </c:errBars>
          <c:errBars>
            <c:errDir val="x"/>
            <c:errBarType val="minus"/>
            <c:errValType val="cust"/>
            <c:noEndCap val="1"/>
            <c:minus>
              <c:numRef>
                <c:f>Sheet1!$F$2:$F$8</c:f>
                <c:numCache>
                  <c:formatCode>General</c:formatCode>
                  <c:ptCount val="7"/>
                  <c:pt idx="1">
                    <c:v>0.2</c:v>
                  </c:pt>
                  <c:pt idx="2">
                    <c:v>0.14999999999999997</c:v>
                  </c:pt>
                  <c:pt idx="3">
                    <c:v>0.12</c:v>
                  </c:pt>
                  <c:pt idx="4">
                    <c:v>0.30000000000000004</c:v>
                  </c:pt>
                  <c:pt idx="5">
                    <c:v>7.0000000000000062E-2</c:v>
                  </c:pt>
                  <c:pt idx="6">
                    <c:v>0.15999999999999992</c:v>
                  </c:pt>
                </c:numCache>
              </c:numRef>
            </c:minus>
          </c:errBars>
          <c:xVal>
            <c:numRef>
              <c:f>Sheet1!$D$2:$D$8</c:f>
              <c:numCache>
                <c:formatCode>0%</c:formatCode>
                <c:ptCount val="7"/>
                <c:pt idx="0" formatCode="General">
                  <c:v>0</c:v>
                </c:pt>
                <c:pt idx="1">
                  <c:v>0.2</c:v>
                </c:pt>
                <c:pt idx="2">
                  <c:v>0.35</c:v>
                </c:pt>
                <c:pt idx="3">
                  <c:v>0.47</c:v>
                </c:pt>
                <c:pt idx="4">
                  <c:v>0.77</c:v>
                </c:pt>
                <c:pt idx="5">
                  <c:v>0.84000000000000008</c:v>
                </c:pt>
                <c:pt idx="6">
                  <c:v>1</c:v>
                </c:pt>
              </c:numCache>
            </c:numRef>
          </c:xVal>
          <c:yVal>
            <c:numRef>
              <c:f>Sheet1!$E$2:$E$8</c:f>
              <c:numCache>
                <c:formatCode>General</c:formatCode>
                <c:ptCount val="7"/>
                <c:pt idx="0">
                  <c:v>150</c:v>
                </c:pt>
                <c:pt idx="1">
                  <c:v>150</c:v>
                </c:pt>
                <c:pt idx="2">
                  <c:v>112.5</c:v>
                </c:pt>
                <c:pt idx="3">
                  <c:v>90</c:v>
                </c:pt>
                <c:pt idx="4">
                  <c:v>225</c:v>
                </c:pt>
                <c:pt idx="5">
                  <c:v>52.5</c:v>
                </c:pt>
                <c:pt idx="6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0-4BE1-95C5-CA088A8B6ADF}"/>
            </c:ext>
          </c:extLst>
        </c:ser>
        <c:ser>
          <c:idx val="1"/>
          <c:order val="1"/>
          <c:tx>
            <c:v>xLabel</c:v>
          </c:tx>
          <c:spPr>
            <a:ln w="28575">
              <a:noFill/>
            </a:ln>
          </c:spPr>
          <c:marker>
            <c:symbol val="none"/>
          </c:marker>
          <c:xVal>
            <c:numRef>
              <c:f>Sheet1!$K$3:$K$8</c:f>
              <c:numCache>
                <c:formatCode>0%</c:formatCode>
                <c:ptCount val="6"/>
                <c:pt idx="0">
                  <c:v>0.2</c:v>
                </c:pt>
                <c:pt idx="1">
                  <c:v>0.15</c:v>
                </c:pt>
                <c:pt idx="2">
                  <c:v>0.12</c:v>
                </c:pt>
                <c:pt idx="3">
                  <c:v>0.3</c:v>
                </c:pt>
                <c:pt idx="4">
                  <c:v>7.0000000000000007E-2</c:v>
                </c:pt>
                <c:pt idx="5">
                  <c:v>0.16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E60-4BE1-95C5-CA088A8B6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9936"/>
        <c:axId val="148601472"/>
      </c:scatterChart>
      <c:valAx>
        <c:axId val="148599936"/>
        <c:scaling>
          <c:orientation val="minMax"/>
          <c:max val="1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crossAx val="148601472"/>
        <c:crosses val="autoZero"/>
        <c:crossBetween val="midCat"/>
      </c:valAx>
      <c:valAx>
        <c:axId val="1486014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tint val="75000"/>
                      <a:shade val="95000"/>
                      <a:satMod val="10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crossAx val="14859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18</xdr:row>
      <xdr:rowOff>0</xdr:rowOff>
    </xdr:from>
    <xdr:to>
      <xdr:col>13</xdr:col>
      <xdr:colOff>533400</xdr:colOff>
      <xdr:row>41</xdr:row>
      <xdr:rowOff>28575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0.27179</cdr:x>
      <cdr:y>0.44205</cdr:y>
    </cdr:from>
    <cdr:to>
      <cdr:x>0.32939</cdr:x>
      <cdr:y>0.51752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52600" y="1562100"/>
          <a:ext cx="3714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altLang="ko-KR" sz="900">
              <a:latin typeface="Arial Unicode MS" panose="020B0604020202020204" pitchFamily="50" charset="-127"/>
              <a:ea typeface="Arial Unicode MS" panose="020B0604020202020204" pitchFamily="50" charset="-127"/>
              <a:cs typeface="Arial Unicode MS" panose="020B0604020202020204" pitchFamily="50" charset="-127"/>
            </a:rPr>
            <a:t>0.1</a:t>
          </a:r>
          <a:endParaRPr lang="ko-KR" altLang="en-US" sz="900">
            <a:latin typeface="Arial Unicode MS" panose="020B0604020202020204" pitchFamily="50" charset="-127"/>
            <a:ea typeface="Arial Unicode MS" panose="020B0604020202020204" pitchFamily="50" charset="-127"/>
            <a:cs typeface="Arial Unicode MS" panose="020B0604020202020204" pitchFamily="50" charset="-127"/>
          </a:endParaRPr>
        </a:p>
      </cdr:txBody>
    </cdr:sp>
  </cdr:relSizeAnchor>
  <cdr:relSizeAnchor xmlns:cdr="http://schemas.openxmlformats.org/drawingml/2006/chartDrawing">
    <cdr:from>
      <cdr:x>0.45692</cdr:x>
      <cdr:y>0.44025</cdr:y>
    </cdr:from>
    <cdr:to>
      <cdr:x>0.51452</cdr:x>
      <cdr:y>0.51572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946400" y="1555750"/>
          <a:ext cx="3714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900">
              <a:latin typeface="Arial Unicode MS" panose="020B0604020202020204" pitchFamily="50" charset="-127"/>
              <a:ea typeface="Arial Unicode MS" panose="020B0604020202020204" pitchFamily="50" charset="-127"/>
              <a:cs typeface="Arial Unicode MS" panose="020B0604020202020204" pitchFamily="50" charset="-127"/>
            </a:rPr>
            <a:t>0.2</a:t>
          </a:r>
          <a:endParaRPr lang="ko-KR" altLang="en-US" sz="900">
            <a:latin typeface="Arial Unicode MS" panose="020B0604020202020204" pitchFamily="50" charset="-127"/>
            <a:ea typeface="Arial Unicode MS" panose="020B0604020202020204" pitchFamily="50" charset="-127"/>
            <a:cs typeface="Arial Unicode MS" panose="020B0604020202020204" pitchFamily="50" charset="-127"/>
          </a:endParaRPr>
        </a:p>
      </cdr:txBody>
    </cdr:sp>
  </cdr:relSizeAnchor>
  <cdr:relSizeAnchor xmlns:cdr="http://schemas.openxmlformats.org/drawingml/2006/chartDrawing">
    <cdr:from>
      <cdr:x>0.6386</cdr:x>
      <cdr:y>0.44025</cdr:y>
    </cdr:from>
    <cdr:to>
      <cdr:x>0.69621</cdr:x>
      <cdr:y>0.51572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117975" y="1555750"/>
          <a:ext cx="3714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900">
              <a:latin typeface="Arial Unicode MS" panose="020B0604020202020204" pitchFamily="50" charset="-127"/>
              <a:ea typeface="Arial Unicode MS" panose="020B0604020202020204" pitchFamily="50" charset="-127"/>
              <a:cs typeface="Arial Unicode MS" panose="020B0604020202020204" pitchFamily="50" charset="-127"/>
            </a:rPr>
            <a:t>0.3</a:t>
          </a:r>
          <a:endParaRPr lang="ko-KR" altLang="en-US" sz="900">
            <a:latin typeface="Arial Unicode MS" panose="020B0604020202020204" pitchFamily="50" charset="-127"/>
            <a:ea typeface="Arial Unicode MS" panose="020B0604020202020204" pitchFamily="50" charset="-127"/>
            <a:cs typeface="Arial Unicode MS" panose="020B0604020202020204" pitchFamily="50" charset="-127"/>
          </a:endParaRPr>
        </a:p>
      </cdr:txBody>
    </cdr:sp>
  </cdr:relSizeAnchor>
  <cdr:relSizeAnchor xmlns:cdr="http://schemas.openxmlformats.org/drawingml/2006/chartDrawing">
    <cdr:from>
      <cdr:x>0.82029</cdr:x>
      <cdr:y>0.44295</cdr:y>
    </cdr:from>
    <cdr:to>
      <cdr:x>0.87789</cdr:x>
      <cdr:y>0.51842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5289550" y="1565275"/>
          <a:ext cx="371475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ko-KR" sz="900">
              <a:latin typeface="Arial Unicode MS" panose="020B0604020202020204" pitchFamily="50" charset="-127"/>
              <a:ea typeface="Arial Unicode MS" panose="020B0604020202020204" pitchFamily="50" charset="-127"/>
              <a:cs typeface="Arial Unicode MS" panose="020B0604020202020204" pitchFamily="50" charset="-127"/>
            </a:rPr>
            <a:t>0.4</a:t>
          </a:r>
          <a:endParaRPr lang="ko-KR" altLang="en-US" sz="900">
            <a:latin typeface="Arial Unicode MS" panose="020B0604020202020204" pitchFamily="50" charset="-127"/>
            <a:ea typeface="Arial Unicode MS" panose="020B0604020202020204" pitchFamily="50" charset="-127"/>
            <a:cs typeface="Arial Unicode MS" panose="020B0604020202020204" pitchFamily="50" charset="-127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609600</xdr:colOff>
      <xdr:row>12</xdr:row>
      <xdr:rowOff>142875</xdr:rowOff>
    </xdr:from>
    <xdr:to>
      <xdr:col>9</xdr:col>
      <xdr:colOff>381000</xdr:colOff>
      <xdr:row>25</xdr:row>
      <xdr:rowOff>161925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14</xdr:row>
          <xdr:rowOff>121920</xdr:rowOff>
        </xdr:from>
        <xdr:to>
          <xdr:col>8</xdr:col>
          <xdr:colOff>0</xdr:colOff>
          <xdr:row>15</xdr:row>
          <xdr:rowOff>213360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MACC drawing (made by khg)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4</xdr:row>
      <xdr:rowOff>28574</xdr:rowOff>
    </xdr:from>
    <xdr:to>
      <xdr:col>6</xdr:col>
      <xdr:colOff>180975</xdr:colOff>
      <xdr:row>10</xdr:row>
      <xdr:rowOff>171449</xdr:rowOff>
    </xdr:to>
    <xdr:sp macro="" textlink="">
      <xdr:nvSpPr>
        <xdr:cNvPr id="9" name="직사각형 8"/>
        <xdr:cNvSpPr/>
      </xdr:nvSpPr>
      <xdr:spPr>
        <a:xfrm>
          <a:off x="2266950" y="866774"/>
          <a:ext cx="2028825" cy="140017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altLang="ko-KR" sz="1100">
              <a:solidFill>
                <a:sysClr val="windowText" lastClr="000000"/>
              </a:solidFill>
              <a:latin typeface="Cambria Math" pitchFamily="18" charset="0"/>
              <a:ea typeface="Cambria Math" pitchFamily="18" charset="0"/>
              <a:cs typeface="Times New Roman" pitchFamily="18" charset="0"/>
            </a:rPr>
            <a:t>abcd</a:t>
          </a:r>
          <a:endParaRPr lang="ko-KR" altLang="en-US" sz="1100">
            <a:solidFill>
              <a:sysClr val="windowText" lastClr="000000"/>
            </a:solidFill>
            <a:latin typeface="Cambria Math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542925</xdr:colOff>
      <xdr:row>3</xdr:row>
      <xdr:rowOff>152400</xdr:rowOff>
    </xdr:from>
    <xdr:to>
      <xdr:col>7</xdr:col>
      <xdr:colOff>552450</xdr:colOff>
      <xdr:row>16</xdr:row>
      <xdr:rowOff>171450</xdr:rowOff>
    </xdr:to>
    <xdr:cxnSp macro="">
      <xdr:nvCxnSpPr>
        <xdr:cNvPr id="11" name="직선 연결선 10"/>
        <xdr:cNvCxnSpPr/>
      </xdr:nvCxnSpPr>
      <xdr:spPr>
        <a:xfrm flipH="1">
          <a:off x="5343525" y="781050"/>
          <a:ext cx="9525" cy="27432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hyperlink" Target="http://www.endprod.com/colors/" TargetMode="Externa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4"/>
  <sheetViews>
    <sheetView workbookViewId="0">
      <selection activeCell="A2" sqref="A2:C14"/>
    </sheetView>
  </sheetViews>
  <sheetFormatPr defaultRowHeight="13.2"/>
  <cols>
    <col min="1" max="8" width="9" style="28"/>
    <col min="9" max="9" width="11.09765625" style="28" bestFit="1" customWidth="1"/>
    <col min="10" max="10" width="11.3984375" style="28" bestFit="1" customWidth="1"/>
    <col min="11" max="11" width="13.59765625" style="28" bestFit="1" customWidth="1"/>
    <col min="12" max="264" width="9" style="28"/>
    <col min="265" max="265" width="11.09765625" style="28" bestFit="1" customWidth="1"/>
    <col min="266" max="266" width="11.3984375" style="28" bestFit="1" customWidth="1"/>
    <col min="267" max="267" width="13.59765625" style="28" bestFit="1" customWidth="1"/>
    <col min="268" max="520" width="9" style="28"/>
    <col min="521" max="521" width="11.09765625" style="28" bestFit="1" customWidth="1"/>
    <col min="522" max="522" width="11.3984375" style="28" bestFit="1" customWidth="1"/>
    <col min="523" max="523" width="13.59765625" style="28" bestFit="1" customWidth="1"/>
    <col min="524" max="776" width="9" style="28"/>
    <col min="777" max="777" width="11.09765625" style="28" bestFit="1" customWidth="1"/>
    <col min="778" max="778" width="11.3984375" style="28" bestFit="1" customWidth="1"/>
    <col min="779" max="779" width="13.59765625" style="28" bestFit="1" customWidth="1"/>
    <col min="780" max="1032" width="9" style="28"/>
    <col min="1033" max="1033" width="11.09765625" style="28" bestFit="1" customWidth="1"/>
    <col min="1034" max="1034" width="11.3984375" style="28" bestFit="1" customWidth="1"/>
    <col min="1035" max="1035" width="13.59765625" style="28" bestFit="1" customWidth="1"/>
    <col min="1036" max="1288" width="9" style="28"/>
    <col min="1289" max="1289" width="11.09765625" style="28" bestFit="1" customWidth="1"/>
    <col min="1290" max="1290" width="11.3984375" style="28" bestFit="1" customWidth="1"/>
    <col min="1291" max="1291" width="13.59765625" style="28" bestFit="1" customWidth="1"/>
    <col min="1292" max="1544" width="9" style="28"/>
    <col min="1545" max="1545" width="11.09765625" style="28" bestFit="1" customWidth="1"/>
    <col min="1546" max="1546" width="11.3984375" style="28" bestFit="1" customWidth="1"/>
    <col min="1547" max="1547" width="13.59765625" style="28" bestFit="1" customWidth="1"/>
    <col min="1548" max="1800" width="9" style="28"/>
    <col min="1801" max="1801" width="11.09765625" style="28" bestFit="1" customWidth="1"/>
    <col min="1802" max="1802" width="11.3984375" style="28" bestFit="1" customWidth="1"/>
    <col min="1803" max="1803" width="13.59765625" style="28" bestFit="1" customWidth="1"/>
    <col min="1804" max="2056" width="9" style="28"/>
    <col min="2057" max="2057" width="11.09765625" style="28" bestFit="1" customWidth="1"/>
    <col min="2058" max="2058" width="11.3984375" style="28" bestFit="1" customWidth="1"/>
    <col min="2059" max="2059" width="13.59765625" style="28" bestFit="1" customWidth="1"/>
    <col min="2060" max="2312" width="9" style="28"/>
    <col min="2313" max="2313" width="11.09765625" style="28" bestFit="1" customWidth="1"/>
    <col min="2314" max="2314" width="11.3984375" style="28" bestFit="1" customWidth="1"/>
    <col min="2315" max="2315" width="13.59765625" style="28" bestFit="1" customWidth="1"/>
    <col min="2316" max="2568" width="9" style="28"/>
    <col min="2569" max="2569" width="11.09765625" style="28" bestFit="1" customWidth="1"/>
    <col min="2570" max="2570" width="11.3984375" style="28" bestFit="1" customWidth="1"/>
    <col min="2571" max="2571" width="13.59765625" style="28" bestFit="1" customWidth="1"/>
    <col min="2572" max="2824" width="9" style="28"/>
    <col min="2825" max="2825" width="11.09765625" style="28" bestFit="1" customWidth="1"/>
    <col min="2826" max="2826" width="11.3984375" style="28" bestFit="1" customWidth="1"/>
    <col min="2827" max="2827" width="13.59765625" style="28" bestFit="1" customWidth="1"/>
    <col min="2828" max="3080" width="9" style="28"/>
    <col min="3081" max="3081" width="11.09765625" style="28" bestFit="1" customWidth="1"/>
    <col min="3082" max="3082" width="11.3984375" style="28" bestFit="1" customWidth="1"/>
    <col min="3083" max="3083" width="13.59765625" style="28" bestFit="1" customWidth="1"/>
    <col min="3084" max="3336" width="9" style="28"/>
    <col min="3337" max="3337" width="11.09765625" style="28" bestFit="1" customWidth="1"/>
    <col min="3338" max="3338" width="11.3984375" style="28" bestFit="1" customWidth="1"/>
    <col min="3339" max="3339" width="13.59765625" style="28" bestFit="1" customWidth="1"/>
    <col min="3340" max="3592" width="9" style="28"/>
    <col min="3593" max="3593" width="11.09765625" style="28" bestFit="1" customWidth="1"/>
    <col min="3594" max="3594" width="11.3984375" style="28" bestFit="1" customWidth="1"/>
    <col min="3595" max="3595" width="13.59765625" style="28" bestFit="1" customWidth="1"/>
    <col min="3596" max="3848" width="9" style="28"/>
    <col min="3849" max="3849" width="11.09765625" style="28" bestFit="1" customWidth="1"/>
    <col min="3850" max="3850" width="11.3984375" style="28" bestFit="1" customWidth="1"/>
    <col min="3851" max="3851" width="13.59765625" style="28" bestFit="1" customWidth="1"/>
    <col min="3852" max="4104" width="9" style="28"/>
    <col min="4105" max="4105" width="11.09765625" style="28" bestFit="1" customWidth="1"/>
    <col min="4106" max="4106" width="11.3984375" style="28" bestFit="1" customWidth="1"/>
    <col min="4107" max="4107" width="13.59765625" style="28" bestFit="1" customWidth="1"/>
    <col min="4108" max="4360" width="9" style="28"/>
    <col min="4361" max="4361" width="11.09765625" style="28" bestFit="1" customWidth="1"/>
    <col min="4362" max="4362" width="11.3984375" style="28" bestFit="1" customWidth="1"/>
    <col min="4363" max="4363" width="13.59765625" style="28" bestFit="1" customWidth="1"/>
    <col min="4364" max="4616" width="9" style="28"/>
    <col min="4617" max="4617" width="11.09765625" style="28" bestFit="1" customWidth="1"/>
    <col min="4618" max="4618" width="11.3984375" style="28" bestFit="1" customWidth="1"/>
    <col min="4619" max="4619" width="13.59765625" style="28" bestFit="1" customWidth="1"/>
    <col min="4620" max="4872" width="9" style="28"/>
    <col min="4873" max="4873" width="11.09765625" style="28" bestFit="1" customWidth="1"/>
    <col min="4874" max="4874" width="11.3984375" style="28" bestFit="1" customWidth="1"/>
    <col min="4875" max="4875" width="13.59765625" style="28" bestFit="1" customWidth="1"/>
    <col min="4876" max="5128" width="9" style="28"/>
    <col min="5129" max="5129" width="11.09765625" style="28" bestFit="1" customWidth="1"/>
    <col min="5130" max="5130" width="11.3984375" style="28" bestFit="1" customWidth="1"/>
    <col min="5131" max="5131" width="13.59765625" style="28" bestFit="1" customWidth="1"/>
    <col min="5132" max="5384" width="9" style="28"/>
    <col min="5385" max="5385" width="11.09765625" style="28" bestFit="1" customWidth="1"/>
    <col min="5386" max="5386" width="11.3984375" style="28" bestFit="1" customWidth="1"/>
    <col min="5387" max="5387" width="13.59765625" style="28" bestFit="1" customWidth="1"/>
    <col min="5388" max="5640" width="9" style="28"/>
    <col min="5641" max="5641" width="11.09765625" style="28" bestFit="1" customWidth="1"/>
    <col min="5642" max="5642" width="11.3984375" style="28" bestFit="1" customWidth="1"/>
    <col min="5643" max="5643" width="13.59765625" style="28" bestFit="1" customWidth="1"/>
    <col min="5644" max="5896" width="9" style="28"/>
    <col min="5897" max="5897" width="11.09765625" style="28" bestFit="1" customWidth="1"/>
    <col min="5898" max="5898" width="11.3984375" style="28" bestFit="1" customWidth="1"/>
    <col min="5899" max="5899" width="13.59765625" style="28" bestFit="1" customWidth="1"/>
    <col min="5900" max="6152" width="9" style="28"/>
    <col min="6153" max="6153" width="11.09765625" style="28" bestFit="1" customWidth="1"/>
    <col min="6154" max="6154" width="11.3984375" style="28" bestFit="1" customWidth="1"/>
    <col min="6155" max="6155" width="13.59765625" style="28" bestFit="1" customWidth="1"/>
    <col min="6156" max="6408" width="9" style="28"/>
    <col min="6409" max="6409" width="11.09765625" style="28" bestFit="1" customWidth="1"/>
    <col min="6410" max="6410" width="11.3984375" style="28" bestFit="1" customWidth="1"/>
    <col min="6411" max="6411" width="13.59765625" style="28" bestFit="1" customWidth="1"/>
    <col min="6412" max="6664" width="9" style="28"/>
    <col min="6665" max="6665" width="11.09765625" style="28" bestFit="1" customWidth="1"/>
    <col min="6666" max="6666" width="11.3984375" style="28" bestFit="1" customWidth="1"/>
    <col min="6667" max="6667" width="13.59765625" style="28" bestFit="1" customWidth="1"/>
    <col min="6668" max="6920" width="9" style="28"/>
    <col min="6921" max="6921" width="11.09765625" style="28" bestFit="1" customWidth="1"/>
    <col min="6922" max="6922" width="11.3984375" style="28" bestFit="1" customWidth="1"/>
    <col min="6923" max="6923" width="13.59765625" style="28" bestFit="1" customWidth="1"/>
    <col min="6924" max="7176" width="9" style="28"/>
    <col min="7177" max="7177" width="11.09765625" style="28" bestFit="1" customWidth="1"/>
    <col min="7178" max="7178" width="11.3984375" style="28" bestFit="1" customWidth="1"/>
    <col min="7179" max="7179" width="13.59765625" style="28" bestFit="1" customWidth="1"/>
    <col min="7180" max="7432" width="9" style="28"/>
    <col min="7433" max="7433" width="11.09765625" style="28" bestFit="1" customWidth="1"/>
    <col min="7434" max="7434" width="11.3984375" style="28" bestFit="1" customWidth="1"/>
    <col min="7435" max="7435" width="13.59765625" style="28" bestFit="1" customWidth="1"/>
    <col min="7436" max="7688" width="9" style="28"/>
    <col min="7689" max="7689" width="11.09765625" style="28" bestFit="1" customWidth="1"/>
    <col min="7690" max="7690" width="11.3984375" style="28" bestFit="1" customWidth="1"/>
    <col min="7691" max="7691" width="13.59765625" style="28" bestFit="1" customWidth="1"/>
    <col min="7692" max="7944" width="9" style="28"/>
    <col min="7945" max="7945" width="11.09765625" style="28" bestFit="1" customWidth="1"/>
    <col min="7946" max="7946" width="11.3984375" style="28" bestFit="1" customWidth="1"/>
    <col min="7947" max="7947" width="13.59765625" style="28" bestFit="1" customWidth="1"/>
    <col min="7948" max="8200" width="9" style="28"/>
    <col min="8201" max="8201" width="11.09765625" style="28" bestFit="1" customWidth="1"/>
    <col min="8202" max="8202" width="11.3984375" style="28" bestFit="1" customWidth="1"/>
    <col min="8203" max="8203" width="13.59765625" style="28" bestFit="1" customWidth="1"/>
    <col min="8204" max="8456" width="9" style="28"/>
    <col min="8457" max="8457" width="11.09765625" style="28" bestFit="1" customWidth="1"/>
    <col min="8458" max="8458" width="11.3984375" style="28" bestFit="1" customWidth="1"/>
    <col min="8459" max="8459" width="13.59765625" style="28" bestFit="1" customWidth="1"/>
    <col min="8460" max="8712" width="9" style="28"/>
    <col min="8713" max="8713" width="11.09765625" style="28" bestFit="1" customWidth="1"/>
    <col min="8714" max="8714" width="11.3984375" style="28" bestFit="1" customWidth="1"/>
    <col min="8715" max="8715" width="13.59765625" style="28" bestFit="1" customWidth="1"/>
    <col min="8716" max="8968" width="9" style="28"/>
    <col min="8969" max="8969" width="11.09765625" style="28" bestFit="1" customWidth="1"/>
    <col min="8970" max="8970" width="11.3984375" style="28" bestFit="1" customWidth="1"/>
    <col min="8971" max="8971" width="13.59765625" style="28" bestFit="1" customWidth="1"/>
    <col min="8972" max="9224" width="9" style="28"/>
    <col min="9225" max="9225" width="11.09765625" style="28" bestFit="1" customWidth="1"/>
    <col min="9226" max="9226" width="11.3984375" style="28" bestFit="1" customWidth="1"/>
    <col min="9227" max="9227" width="13.59765625" style="28" bestFit="1" customWidth="1"/>
    <col min="9228" max="9480" width="9" style="28"/>
    <col min="9481" max="9481" width="11.09765625" style="28" bestFit="1" customWidth="1"/>
    <col min="9482" max="9482" width="11.3984375" style="28" bestFit="1" customWidth="1"/>
    <col min="9483" max="9483" width="13.59765625" style="28" bestFit="1" customWidth="1"/>
    <col min="9484" max="9736" width="9" style="28"/>
    <col min="9737" max="9737" width="11.09765625" style="28" bestFit="1" customWidth="1"/>
    <col min="9738" max="9738" width="11.3984375" style="28" bestFit="1" customWidth="1"/>
    <col min="9739" max="9739" width="13.59765625" style="28" bestFit="1" customWidth="1"/>
    <col min="9740" max="9992" width="9" style="28"/>
    <col min="9993" max="9993" width="11.09765625" style="28" bestFit="1" customWidth="1"/>
    <col min="9994" max="9994" width="11.3984375" style="28" bestFit="1" customWidth="1"/>
    <col min="9995" max="9995" width="13.59765625" style="28" bestFit="1" customWidth="1"/>
    <col min="9996" max="10248" width="9" style="28"/>
    <col min="10249" max="10249" width="11.09765625" style="28" bestFit="1" customWidth="1"/>
    <col min="10250" max="10250" width="11.3984375" style="28" bestFit="1" customWidth="1"/>
    <col min="10251" max="10251" width="13.59765625" style="28" bestFit="1" customWidth="1"/>
    <col min="10252" max="10504" width="9" style="28"/>
    <col min="10505" max="10505" width="11.09765625" style="28" bestFit="1" customWidth="1"/>
    <col min="10506" max="10506" width="11.3984375" style="28" bestFit="1" customWidth="1"/>
    <col min="10507" max="10507" width="13.59765625" style="28" bestFit="1" customWidth="1"/>
    <col min="10508" max="10760" width="9" style="28"/>
    <col min="10761" max="10761" width="11.09765625" style="28" bestFit="1" customWidth="1"/>
    <col min="10762" max="10762" width="11.3984375" style="28" bestFit="1" customWidth="1"/>
    <col min="10763" max="10763" width="13.59765625" style="28" bestFit="1" customWidth="1"/>
    <col min="10764" max="11016" width="9" style="28"/>
    <col min="11017" max="11017" width="11.09765625" style="28" bestFit="1" customWidth="1"/>
    <col min="11018" max="11018" width="11.3984375" style="28" bestFit="1" customWidth="1"/>
    <col min="11019" max="11019" width="13.59765625" style="28" bestFit="1" customWidth="1"/>
    <col min="11020" max="11272" width="9" style="28"/>
    <col min="11273" max="11273" width="11.09765625" style="28" bestFit="1" customWidth="1"/>
    <col min="11274" max="11274" width="11.3984375" style="28" bestFit="1" customWidth="1"/>
    <col min="11275" max="11275" width="13.59765625" style="28" bestFit="1" customWidth="1"/>
    <col min="11276" max="11528" width="9" style="28"/>
    <col min="11529" max="11529" width="11.09765625" style="28" bestFit="1" customWidth="1"/>
    <col min="11530" max="11530" width="11.3984375" style="28" bestFit="1" customWidth="1"/>
    <col min="11531" max="11531" width="13.59765625" style="28" bestFit="1" customWidth="1"/>
    <col min="11532" max="11784" width="9" style="28"/>
    <col min="11785" max="11785" width="11.09765625" style="28" bestFit="1" customWidth="1"/>
    <col min="11786" max="11786" width="11.3984375" style="28" bestFit="1" customWidth="1"/>
    <col min="11787" max="11787" width="13.59765625" style="28" bestFit="1" customWidth="1"/>
    <col min="11788" max="12040" width="9" style="28"/>
    <col min="12041" max="12041" width="11.09765625" style="28" bestFit="1" customWidth="1"/>
    <col min="12042" max="12042" width="11.3984375" style="28" bestFit="1" customWidth="1"/>
    <col min="12043" max="12043" width="13.59765625" style="28" bestFit="1" customWidth="1"/>
    <col min="12044" max="12296" width="9" style="28"/>
    <col min="12297" max="12297" width="11.09765625" style="28" bestFit="1" customWidth="1"/>
    <col min="12298" max="12298" width="11.3984375" style="28" bestFit="1" customWidth="1"/>
    <col min="12299" max="12299" width="13.59765625" style="28" bestFit="1" customWidth="1"/>
    <col min="12300" max="12552" width="9" style="28"/>
    <col min="12553" max="12553" width="11.09765625" style="28" bestFit="1" customWidth="1"/>
    <col min="12554" max="12554" width="11.3984375" style="28" bestFit="1" customWidth="1"/>
    <col min="12555" max="12555" width="13.59765625" style="28" bestFit="1" customWidth="1"/>
    <col min="12556" max="12808" width="9" style="28"/>
    <col min="12809" max="12809" width="11.09765625" style="28" bestFit="1" customWidth="1"/>
    <col min="12810" max="12810" width="11.3984375" style="28" bestFit="1" customWidth="1"/>
    <col min="12811" max="12811" width="13.59765625" style="28" bestFit="1" customWidth="1"/>
    <col min="12812" max="13064" width="9" style="28"/>
    <col min="13065" max="13065" width="11.09765625" style="28" bestFit="1" customWidth="1"/>
    <col min="13066" max="13066" width="11.3984375" style="28" bestFit="1" customWidth="1"/>
    <col min="13067" max="13067" width="13.59765625" style="28" bestFit="1" customWidth="1"/>
    <col min="13068" max="13320" width="9" style="28"/>
    <col min="13321" max="13321" width="11.09765625" style="28" bestFit="1" customWidth="1"/>
    <col min="13322" max="13322" width="11.3984375" style="28" bestFit="1" customWidth="1"/>
    <col min="13323" max="13323" width="13.59765625" style="28" bestFit="1" customWidth="1"/>
    <col min="13324" max="13576" width="9" style="28"/>
    <col min="13577" max="13577" width="11.09765625" style="28" bestFit="1" customWidth="1"/>
    <col min="13578" max="13578" width="11.3984375" style="28" bestFit="1" customWidth="1"/>
    <col min="13579" max="13579" width="13.59765625" style="28" bestFit="1" customWidth="1"/>
    <col min="13580" max="13832" width="9" style="28"/>
    <col min="13833" max="13833" width="11.09765625" style="28" bestFit="1" customWidth="1"/>
    <col min="13834" max="13834" width="11.3984375" style="28" bestFit="1" customWidth="1"/>
    <col min="13835" max="13835" width="13.59765625" style="28" bestFit="1" customWidth="1"/>
    <col min="13836" max="14088" width="9" style="28"/>
    <col min="14089" max="14089" width="11.09765625" style="28" bestFit="1" customWidth="1"/>
    <col min="14090" max="14090" width="11.3984375" style="28" bestFit="1" customWidth="1"/>
    <col min="14091" max="14091" width="13.59765625" style="28" bestFit="1" customWidth="1"/>
    <col min="14092" max="14344" width="9" style="28"/>
    <col min="14345" max="14345" width="11.09765625" style="28" bestFit="1" customWidth="1"/>
    <col min="14346" max="14346" width="11.3984375" style="28" bestFit="1" customWidth="1"/>
    <col min="14347" max="14347" width="13.59765625" style="28" bestFit="1" customWidth="1"/>
    <col min="14348" max="14600" width="9" style="28"/>
    <col min="14601" max="14601" width="11.09765625" style="28" bestFit="1" customWidth="1"/>
    <col min="14602" max="14602" width="11.3984375" style="28" bestFit="1" customWidth="1"/>
    <col min="14603" max="14603" width="13.59765625" style="28" bestFit="1" customWidth="1"/>
    <col min="14604" max="14856" width="9" style="28"/>
    <col min="14857" max="14857" width="11.09765625" style="28" bestFit="1" customWidth="1"/>
    <col min="14858" max="14858" width="11.3984375" style="28" bestFit="1" customWidth="1"/>
    <col min="14859" max="14859" width="13.59765625" style="28" bestFit="1" customWidth="1"/>
    <col min="14860" max="15112" width="9" style="28"/>
    <col min="15113" max="15113" width="11.09765625" style="28" bestFit="1" customWidth="1"/>
    <col min="15114" max="15114" width="11.3984375" style="28" bestFit="1" customWidth="1"/>
    <col min="15115" max="15115" width="13.59765625" style="28" bestFit="1" customWidth="1"/>
    <col min="15116" max="15368" width="9" style="28"/>
    <col min="15369" max="15369" width="11.09765625" style="28" bestFit="1" customWidth="1"/>
    <col min="15370" max="15370" width="11.3984375" style="28" bestFit="1" customWidth="1"/>
    <col min="15371" max="15371" width="13.59765625" style="28" bestFit="1" customWidth="1"/>
    <col min="15372" max="15624" width="9" style="28"/>
    <col min="15625" max="15625" width="11.09765625" style="28" bestFit="1" customWidth="1"/>
    <col min="15626" max="15626" width="11.3984375" style="28" bestFit="1" customWidth="1"/>
    <col min="15627" max="15627" width="13.59765625" style="28" bestFit="1" customWidth="1"/>
    <col min="15628" max="15880" width="9" style="28"/>
    <col min="15881" max="15881" width="11.09765625" style="28" bestFit="1" customWidth="1"/>
    <col min="15882" max="15882" width="11.3984375" style="28" bestFit="1" customWidth="1"/>
    <col min="15883" max="15883" width="13.59765625" style="28" bestFit="1" customWidth="1"/>
    <col min="15884" max="16136" width="9" style="28"/>
    <col min="16137" max="16137" width="11.09765625" style="28" bestFit="1" customWidth="1"/>
    <col min="16138" max="16138" width="11.3984375" style="28" bestFit="1" customWidth="1"/>
    <col min="16139" max="16139" width="13.59765625" style="28" bestFit="1" customWidth="1"/>
    <col min="16140" max="16384" width="9" style="28"/>
  </cols>
  <sheetData>
    <row r="1" spans="1:11" ht="13.8">
      <c r="A1" s="23"/>
      <c r="B1" s="23"/>
      <c r="C1" s="23"/>
      <c r="D1" s="24" t="s">
        <v>9</v>
      </c>
      <c r="E1" s="24" t="s">
        <v>10</v>
      </c>
      <c r="F1" s="25" t="s">
        <v>11</v>
      </c>
      <c r="G1" s="26" t="s">
        <v>12</v>
      </c>
      <c r="H1" s="26" t="s">
        <v>13</v>
      </c>
      <c r="I1" s="27" t="s">
        <v>14</v>
      </c>
      <c r="J1" s="27" t="s">
        <v>15</v>
      </c>
      <c r="K1" s="27" t="s">
        <v>16</v>
      </c>
    </row>
    <row r="2" spans="1:11" ht="13.8">
      <c r="A2" s="29" t="s">
        <v>17</v>
      </c>
      <c r="B2" s="30" t="s">
        <v>18</v>
      </c>
      <c r="C2" s="31" t="s">
        <v>19</v>
      </c>
      <c r="D2" s="32">
        <v>0</v>
      </c>
      <c r="E2" s="32">
        <f>C3</f>
        <v>-3085</v>
      </c>
      <c r="F2" s="33"/>
      <c r="G2" s="34">
        <f t="shared" ref="G2:G14" si="0">E2</f>
        <v>-3085</v>
      </c>
      <c r="H2" s="34">
        <f t="shared" ref="H2:H14" si="1">C3-E2</f>
        <v>0</v>
      </c>
      <c r="I2" s="35"/>
      <c r="J2" s="35"/>
      <c r="K2" s="35"/>
    </row>
    <row r="3" spans="1:11" ht="13.8">
      <c r="A3" s="29" t="s">
        <v>20</v>
      </c>
      <c r="B3" s="36">
        <v>11.38</v>
      </c>
      <c r="C3" s="37">
        <v>-3085</v>
      </c>
      <c r="D3" s="32">
        <f t="shared" ref="D3:D14" si="2">B3+D2</f>
        <v>11.38</v>
      </c>
      <c r="E3" s="32">
        <f t="shared" ref="E3:E14" si="3">C3</f>
        <v>-3085</v>
      </c>
      <c r="F3" s="33">
        <f t="shared" ref="F3:F14" si="4">D3-D2</f>
        <v>11.38</v>
      </c>
      <c r="G3" s="34">
        <f t="shared" si="0"/>
        <v>-3085</v>
      </c>
      <c r="H3" s="38">
        <f t="shared" si="1"/>
        <v>1202</v>
      </c>
      <c r="I3" s="35">
        <f t="shared" ref="I3:I14" si="5">((D3-D2)/2)+D2</f>
        <v>5.69</v>
      </c>
      <c r="J3" s="35">
        <v>0</v>
      </c>
      <c r="K3" s="35">
        <f t="shared" ref="K3:K14" si="6">B3</f>
        <v>11.38</v>
      </c>
    </row>
    <row r="4" spans="1:11" ht="13.8">
      <c r="A4" s="29" t="s">
        <v>21</v>
      </c>
      <c r="B4" s="36">
        <v>21.86</v>
      </c>
      <c r="C4" s="37">
        <v>-1883</v>
      </c>
      <c r="D4" s="32">
        <f t="shared" si="2"/>
        <v>33.24</v>
      </c>
      <c r="E4" s="32">
        <f t="shared" si="3"/>
        <v>-1883</v>
      </c>
      <c r="F4" s="33">
        <f t="shared" si="4"/>
        <v>21.86</v>
      </c>
      <c r="G4" s="34">
        <f t="shared" si="0"/>
        <v>-1883</v>
      </c>
      <c r="H4" s="38">
        <f t="shared" si="1"/>
        <v>1448</v>
      </c>
      <c r="I4" s="35">
        <f t="shared" si="5"/>
        <v>22.310000000000002</v>
      </c>
      <c r="J4" s="35">
        <v>0</v>
      </c>
      <c r="K4" s="35">
        <f t="shared" si="6"/>
        <v>21.86</v>
      </c>
    </row>
    <row r="5" spans="1:11" ht="13.8">
      <c r="A5" s="29" t="s">
        <v>22</v>
      </c>
      <c r="B5" s="36">
        <v>30.65</v>
      </c>
      <c r="C5" s="39">
        <v>-435</v>
      </c>
      <c r="D5" s="32">
        <f t="shared" si="2"/>
        <v>63.89</v>
      </c>
      <c r="E5" s="32">
        <f t="shared" si="3"/>
        <v>-435</v>
      </c>
      <c r="F5" s="33">
        <f t="shared" si="4"/>
        <v>30.65</v>
      </c>
      <c r="G5" s="34">
        <f t="shared" si="0"/>
        <v>-435</v>
      </c>
      <c r="H5" s="38">
        <f t="shared" si="1"/>
        <v>403</v>
      </c>
      <c r="I5" s="35">
        <f t="shared" si="5"/>
        <v>48.564999999999998</v>
      </c>
      <c r="J5" s="35">
        <v>0</v>
      </c>
      <c r="K5" s="35">
        <f t="shared" si="6"/>
        <v>30.65</v>
      </c>
    </row>
    <row r="6" spans="1:11" ht="13.8">
      <c r="A6" s="29" t="s">
        <v>23</v>
      </c>
      <c r="B6" s="36">
        <v>58.66</v>
      </c>
      <c r="C6" s="39">
        <v>-32</v>
      </c>
      <c r="D6" s="32">
        <f t="shared" si="2"/>
        <v>122.55</v>
      </c>
      <c r="E6" s="32">
        <f t="shared" si="3"/>
        <v>-32</v>
      </c>
      <c r="F6" s="33">
        <f t="shared" si="4"/>
        <v>58.66</v>
      </c>
      <c r="G6" s="34">
        <f t="shared" si="0"/>
        <v>-32</v>
      </c>
      <c r="H6" s="38">
        <f t="shared" si="1"/>
        <v>121</v>
      </c>
      <c r="I6" s="35">
        <f t="shared" si="5"/>
        <v>93.22</v>
      </c>
      <c r="J6" s="35">
        <v>0</v>
      </c>
      <c r="K6" s="35">
        <f t="shared" si="6"/>
        <v>58.66</v>
      </c>
    </row>
    <row r="7" spans="1:11" ht="13.8">
      <c r="A7" s="29" t="s">
        <v>24</v>
      </c>
      <c r="B7" s="36">
        <v>40.770000000000003</v>
      </c>
      <c r="C7" s="39">
        <v>89</v>
      </c>
      <c r="D7" s="32">
        <f t="shared" si="2"/>
        <v>163.32</v>
      </c>
      <c r="E7" s="32">
        <f t="shared" si="3"/>
        <v>89</v>
      </c>
      <c r="F7" s="33">
        <f t="shared" si="4"/>
        <v>40.769999999999996</v>
      </c>
      <c r="G7" s="34">
        <f t="shared" si="0"/>
        <v>89</v>
      </c>
      <c r="H7" s="38">
        <f t="shared" si="1"/>
        <v>9</v>
      </c>
      <c r="I7" s="35">
        <f t="shared" si="5"/>
        <v>142.935</v>
      </c>
      <c r="J7" s="35">
        <v>0</v>
      </c>
      <c r="K7" s="35">
        <f t="shared" si="6"/>
        <v>40.770000000000003</v>
      </c>
    </row>
    <row r="8" spans="1:11" ht="13.8">
      <c r="A8" s="29" t="s">
        <v>25</v>
      </c>
      <c r="B8" s="36">
        <v>23.18</v>
      </c>
      <c r="C8" s="39">
        <v>98</v>
      </c>
      <c r="D8" s="32">
        <f t="shared" si="2"/>
        <v>186.5</v>
      </c>
      <c r="E8" s="32">
        <f t="shared" si="3"/>
        <v>98</v>
      </c>
      <c r="F8" s="33">
        <f t="shared" si="4"/>
        <v>23.180000000000007</v>
      </c>
      <c r="G8" s="34">
        <f t="shared" si="0"/>
        <v>98</v>
      </c>
      <c r="H8" s="38">
        <f t="shared" si="1"/>
        <v>133</v>
      </c>
      <c r="I8" s="35">
        <f t="shared" si="5"/>
        <v>174.91</v>
      </c>
      <c r="J8" s="35">
        <v>0</v>
      </c>
      <c r="K8" s="35">
        <f t="shared" si="6"/>
        <v>23.18</v>
      </c>
    </row>
    <row r="9" spans="1:11" ht="13.8">
      <c r="A9" s="29" t="s">
        <v>26</v>
      </c>
      <c r="B9" s="36">
        <v>15.54</v>
      </c>
      <c r="C9" s="39">
        <v>231</v>
      </c>
      <c r="D9" s="32">
        <f t="shared" si="2"/>
        <v>202.04</v>
      </c>
      <c r="E9" s="32">
        <f t="shared" si="3"/>
        <v>231</v>
      </c>
      <c r="F9" s="33">
        <f t="shared" si="4"/>
        <v>15.539999999999992</v>
      </c>
      <c r="G9" s="34">
        <f t="shared" si="0"/>
        <v>231</v>
      </c>
      <c r="H9" s="38">
        <f t="shared" si="1"/>
        <v>50</v>
      </c>
      <c r="I9" s="35">
        <f t="shared" si="5"/>
        <v>194.26999999999998</v>
      </c>
      <c r="J9" s="35">
        <v>0</v>
      </c>
      <c r="K9" s="35">
        <f t="shared" si="6"/>
        <v>15.54</v>
      </c>
    </row>
    <row r="10" spans="1:11" ht="13.8">
      <c r="A10" s="29" t="s">
        <v>27</v>
      </c>
      <c r="B10" s="36">
        <v>60.78</v>
      </c>
      <c r="C10" s="39">
        <v>281</v>
      </c>
      <c r="D10" s="32">
        <f t="shared" si="2"/>
        <v>262.82</v>
      </c>
      <c r="E10" s="32">
        <f t="shared" si="3"/>
        <v>281</v>
      </c>
      <c r="F10" s="33">
        <f t="shared" si="4"/>
        <v>60.78</v>
      </c>
      <c r="G10" s="34">
        <f t="shared" si="0"/>
        <v>281</v>
      </c>
      <c r="H10" s="38">
        <f t="shared" si="1"/>
        <v>66</v>
      </c>
      <c r="I10" s="35">
        <f t="shared" si="5"/>
        <v>232.43</v>
      </c>
      <c r="J10" s="35">
        <v>0</v>
      </c>
      <c r="K10" s="35">
        <f t="shared" si="6"/>
        <v>60.78</v>
      </c>
    </row>
    <row r="11" spans="1:11" ht="13.8">
      <c r="A11" s="29" t="s">
        <v>28</v>
      </c>
      <c r="B11" s="36">
        <v>23.98</v>
      </c>
      <c r="C11" s="39">
        <v>347</v>
      </c>
      <c r="D11" s="32">
        <f t="shared" si="2"/>
        <v>286.8</v>
      </c>
      <c r="E11" s="32">
        <f t="shared" si="3"/>
        <v>347</v>
      </c>
      <c r="F11" s="33">
        <f t="shared" si="4"/>
        <v>23.980000000000018</v>
      </c>
      <c r="G11" s="34">
        <f t="shared" si="0"/>
        <v>347</v>
      </c>
      <c r="H11" s="38">
        <f t="shared" si="1"/>
        <v>15</v>
      </c>
      <c r="I11" s="35">
        <f t="shared" si="5"/>
        <v>274.81</v>
      </c>
      <c r="J11" s="35">
        <v>0</v>
      </c>
      <c r="K11" s="35">
        <f t="shared" si="6"/>
        <v>23.98</v>
      </c>
    </row>
    <row r="12" spans="1:11" ht="13.8">
      <c r="A12" s="29" t="s">
        <v>29</v>
      </c>
      <c r="B12" s="36">
        <v>50.72</v>
      </c>
      <c r="C12" s="39">
        <v>362</v>
      </c>
      <c r="D12" s="32">
        <f t="shared" si="2"/>
        <v>337.52</v>
      </c>
      <c r="E12" s="32">
        <f t="shared" si="3"/>
        <v>362</v>
      </c>
      <c r="F12" s="33">
        <f t="shared" si="4"/>
        <v>50.71999999999997</v>
      </c>
      <c r="G12" s="34">
        <f t="shared" si="0"/>
        <v>362</v>
      </c>
      <c r="H12" s="38">
        <f t="shared" si="1"/>
        <v>1214</v>
      </c>
      <c r="I12" s="35">
        <f t="shared" si="5"/>
        <v>312.15999999999997</v>
      </c>
      <c r="J12" s="35">
        <v>0</v>
      </c>
      <c r="K12" s="35">
        <f t="shared" si="6"/>
        <v>50.72</v>
      </c>
    </row>
    <row r="13" spans="1:11" ht="13.8">
      <c r="A13" s="29" t="s">
        <v>30</v>
      </c>
      <c r="B13" s="36">
        <v>40.19</v>
      </c>
      <c r="C13" s="37">
        <v>1576</v>
      </c>
      <c r="D13" s="32">
        <f t="shared" si="2"/>
        <v>377.71</v>
      </c>
      <c r="E13" s="32">
        <f t="shared" si="3"/>
        <v>1576</v>
      </c>
      <c r="F13" s="33">
        <f t="shared" si="4"/>
        <v>40.19</v>
      </c>
      <c r="G13" s="34">
        <f t="shared" si="0"/>
        <v>1576</v>
      </c>
      <c r="H13" s="38">
        <f t="shared" si="1"/>
        <v>675</v>
      </c>
      <c r="I13" s="35">
        <f t="shared" si="5"/>
        <v>357.61500000000001</v>
      </c>
      <c r="J13" s="35">
        <v>0</v>
      </c>
      <c r="K13" s="35">
        <f t="shared" si="6"/>
        <v>40.19</v>
      </c>
    </row>
    <row r="14" spans="1:11" ht="13.8">
      <c r="A14" s="29" t="s">
        <v>31</v>
      </c>
      <c r="B14" s="36">
        <v>21.49</v>
      </c>
      <c r="C14" s="37">
        <v>2251</v>
      </c>
      <c r="D14" s="32">
        <f t="shared" si="2"/>
        <v>399.2</v>
      </c>
      <c r="E14" s="32">
        <f t="shared" si="3"/>
        <v>2251</v>
      </c>
      <c r="F14" s="33">
        <f t="shared" si="4"/>
        <v>21.490000000000009</v>
      </c>
      <c r="G14" s="34">
        <f t="shared" si="0"/>
        <v>2251</v>
      </c>
      <c r="H14" s="38">
        <f t="shared" si="1"/>
        <v>-2251</v>
      </c>
      <c r="I14" s="35">
        <f t="shared" si="5"/>
        <v>388.45499999999998</v>
      </c>
      <c r="J14" s="35">
        <v>0</v>
      </c>
      <c r="K14" s="35">
        <f t="shared" si="6"/>
        <v>21.49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"/>
  <sheetViews>
    <sheetView workbookViewId="0">
      <selection activeCell="A13" sqref="A13"/>
    </sheetView>
  </sheetViews>
  <sheetFormatPr defaultRowHeight="17.399999999999999"/>
  <sheetData>
    <row r="1" spans="1:11">
      <c r="A1" s="3" t="s">
        <v>0</v>
      </c>
      <c r="B1" s="3"/>
      <c r="C1" s="3"/>
      <c r="D1" s="14" t="s">
        <v>9</v>
      </c>
      <c r="E1" s="15" t="s">
        <v>10</v>
      </c>
      <c r="F1" s="16" t="s">
        <v>11</v>
      </c>
      <c r="G1" s="17" t="s">
        <v>12</v>
      </c>
      <c r="H1" s="18" t="s">
        <v>13</v>
      </c>
      <c r="I1" s="19" t="s">
        <v>14</v>
      </c>
      <c r="J1" s="20" t="s">
        <v>15</v>
      </c>
      <c r="K1" s="21" t="s">
        <v>16</v>
      </c>
    </row>
    <row r="2" spans="1:11">
      <c r="A2" s="4"/>
      <c r="B2" s="5" t="s">
        <v>1</v>
      </c>
      <c r="C2" s="5" t="s">
        <v>2</v>
      </c>
      <c r="D2">
        <v>0</v>
      </c>
      <c r="E2" s="2">
        <f>C3</f>
        <v>150</v>
      </c>
      <c r="G2">
        <f>E2</f>
        <v>150</v>
      </c>
      <c r="H2" s="2">
        <f>C3-E2</f>
        <v>0</v>
      </c>
    </row>
    <row r="3" spans="1:11">
      <c r="A3" s="6" t="s">
        <v>3</v>
      </c>
      <c r="B3" s="10">
        <v>0.2</v>
      </c>
      <c r="C3" s="11">
        <v>150</v>
      </c>
      <c r="D3" s="1">
        <f>B3+D2</f>
        <v>0.2</v>
      </c>
      <c r="E3" s="2">
        <f>C3</f>
        <v>150</v>
      </c>
      <c r="F3" s="1">
        <f>D3-D2</f>
        <v>0.2</v>
      </c>
      <c r="G3">
        <f t="shared" ref="G3:G8" si="0">E3</f>
        <v>150</v>
      </c>
      <c r="H3" s="2">
        <f t="shared" ref="H3:H7" si="1">C4-E3</f>
        <v>-37.5</v>
      </c>
      <c r="I3" s="22">
        <f>((D3-D2)/2)+D2</f>
        <v>0.1</v>
      </c>
      <c r="J3">
        <v>0</v>
      </c>
      <c r="K3" s="1">
        <f>B3</f>
        <v>0.2</v>
      </c>
    </row>
    <row r="4" spans="1:11">
      <c r="A4" s="6" t="s">
        <v>4</v>
      </c>
      <c r="B4" s="12">
        <v>0.15</v>
      </c>
      <c r="C4" s="7">
        <v>112.5</v>
      </c>
      <c r="D4" s="1">
        <f t="shared" ref="D4:D8" si="2">B4+D3</f>
        <v>0.35</v>
      </c>
      <c r="E4" s="2">
        <f t="shared" ref="E4:E8" si="3">C4</f>
        <v>112.5</v>
      </c>
      <c r="F4" s="1">
        <f t="shared" ref="F4:F8" si="4">D4-D3</f>
        <v>0.14999999999999997</v>
      </c>
      <c r="G4">
        <f t="shared" si="0"/>
        <v>112.5</v>
      </c>
      <c r="H4" s="2">
        <f t="shared" si="1"/>
        <v>-22.5</v>
      </c>
      <c r="I4" s="22">
        <f t="shared" ref="I4:I8" si="5">((D4-D3)/2)+D3</f>
        <v>0.27500000000000002</v>
      </c>
      <c r="J4">
        <v>0</v>
      </c>
      <c r="K4" s="1">
        <f t="shared" ref="K4:K7" si="6">B4</f>
        <v>0.15</v>
      </c>
    </row>
    <row r="5" spans="1:11">
      <c r="A5" s="6" t="s">
        <v>5</v>
      </c>
      <c r="B5" s="12">
        <v>0.12</v>
      </c>
      <c r="C5" s="7">
        <v>90</v>
      </c>
      <c r="D5" s="1">
        <f t="shared" si="2"/>
        <v>0.47</v>
      </c>
      <c r="E5" s="2">
        <f t="shared" si="3"/>
        <v>90</v>
      </c>
      <c r="F5" s="1">
        <f t="shared" si="4"/>
        <v>0.12</v>
      </c>
      <c r="G5">
        <f t="shared" si="0"/>
        <v>90</v>
      </c>
      <c r="H5" s="2">
        <f t="shared" si="1"/>
        <v>135</v>
      </c>
      <c r="I5" s="22">
        <f t="shared" si="5"/>
        <v>0.41</v>
      </c>
      <c r="J5">
        <v>0</v>
      </c>
      <c r="K5" s="1">
        <f t="shared" si="6"/>
        <v>0.12</v>
      </c>
    </row>
    <row r="6" spans="1:11">
      <c r="A6" s="6" t="s">
        <v>6</v>
      </c>
      <c r="B6" s="12">
        <v>0.3</v>
      </c>
      <c r="C6" s="7">
        <v>225</v>
      </c>
      <c r="D6" s="1">
        <f t="shared" si="2"/>
        <v>0.77</v>
      </c>
      <c r="E6" s="2">
        <f t="shared" si="3"/>
        <v>225</v>
      </c>
      <c r="F6" s="1">
        <f t="shared" si="4"/>
        <v>0.30000000000000004</v>
      </c>
      <c r="G6">
        <f t="shared" si="0"/>
        <v>225</v>
      </c>
      <c r="H6" s="2">
        <f t="shared" si="1"/>
        <v>-172.5</v>
      </c>
      <c r="I6" s="22">
        <f t="shared" si="5"/>
        <v>0.62</v>
      </c>
      <c r="J6">
        <v>0</v>
      </c>
      <c r="K6" s="1">
        <f t="shared" si="6"/>
        <v>0.3</v>
      </c>
    </row>
    <row r="7" spans="1:11">
      <c r="A7" s="6" t="s">
        <v>7</v>
      </c>
      <c r="B7" s="12">
        <v>7.0000000000000007E-2</v>
      </c>
      <c r="C7" s="7">
        <v>52.5</v>
      </c>
      <c r="D7" s="1">
        <f t="shared" si="2"/>
        <v>0.84000000000000008</v>
      </c>
      <c r="E7" s="2">
        <f t="shared" si="3"/>
        <v>52.5</v>
      </c>
      <c r="F7" s="1">
        <f t="shared" si="4"/>
        <v>7.0000000000000062E-2</v>
      </c>
      <c r="G7">
        <f t="shared" si="0"/>
        <v>52.5</v>
      </c>
      <c r="H7" s="2">
        <f t="shared" si="1"/>
        <v>67.5</v>
      </c>
      <c r="I7" s="22">
        <f t="shared" si="5"/>
        <v>0.80500000000000005</v>
      </c>
      <c r="J7">
        <v>0</v>
      </c>
      <c r="K7" s="1">
        <f t="shared" si="6"/>
        <v>7.0000000000000007E-2</v>
      </c>
    </row>
    <row r="8" spans="1:11">
      <c r="A8" s="8" t="s">
        <v>8</v>
      </c>
      <c r="B8" s="13">
        <v>0.16</v>
      </c>
      <c r="C8" s="9">
        <v>120</v>
      </c>
      <c r="D8" s="1">
        <f t="shared" si="2"/>
        <v>1</v>
      </c>
      <c r="E8" s="2">
        <f t="shared" si="3"/>
        <v>120</v>
      </c>
      <c r="F8" s="1">
        <f t="shared" si="4"/>
        <v>0.15999999999999992</v>
      </c>
      <c r="G8">
        <f t="shared" si="0"/>
        <v>120</v>
      </c>
      <c r="I8" s="22">
        <f t="shared" si="5"/>
        <v>0.92</v>
      </c>
      <c r="J8">
        <v>0</v>
      </c>
      <c r="K8" s="1">
        <f>B8</f>
        <v>0.16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31"/>
  <sheetViews>
    <sheetView tabSelected="1" workbookViewId="0">
      <selection activeCell="H2" sqref="H2"/>
    </sheetView>
  </sheetViews>
  <sheetFormatPr defaultRowHeight="17.399999999999999"/>
  <cols>
    <col min="1" max="1" width="28.09765625" customWidth="1"/>
    <col min="5" max="7" width="17.5" customWidth="1"/>
    <col min="8" max="8" width="18.09765625" customWidth="1"/>
    <col min="9" max="9" width="13.8984375" customWidth="1"/>
    <col min="10" max="10" width="16.19921875" customWidth="1"/>
    <col min="11" max="14" width="10.19921875" customWidth="1"/>
    <col min="15" max="16" width="11.19921875" customWidth="1"/>
  </cols>
  <sheetData>
    <row r="1" spans="1:17" ht="21" customHeight="1">
      <c r="A1" s="80" t="s">
        <v>109</v>
      </c>
      <c r="B1" s="90" t="s">
        <v>120</v>
      </c>
      <c r="C1" s="91"/>
      <c r="D1" s="91"/>
      <c r="E1" s="91"/>
      <c r="F1" s="91"/>
      <c r="G1" s="92"/>
      <c r="H1" s="89" t="s">
        <v>119</v>
      </c>
      <c r="I1" s="42"/>
      <c r="N1" s="89" t="s">
        <v>116</v>
      </c>
      <c r="Q1" s="42"/>
    </row>
    <row r="2" spans="1:17" ht="21" customHeight="1">
      <c r="A2" s="80" t="s">
        <v>51</v>
      </c>
      <c r="B2" s="44">
        <v>12</v>
      </c>
      <c r="H2" s="89" t="s">
        <v>118</v>
      </c>
      <c r="N2" s="89" t="s">
        <v>117</v>
      </c>
    </row>
    <row r="3" spans="1:17">
      <c r="H3" s="89" t="s">
        <v>115</v>
      </c>
    </row>
    <row r="4" spans="1:17" ht="16.5" customHeight="1">
      <c r="B4" s="96" t="s">
        <v>105</v>
      </c>
      <c r="C4" s="80" t="s">
        <v>93</v>
      </c>
      <c r="D4" s="76">
        <v>0.15</v>
      </c>
      <c r="F4" s="93" t="s">
        <v>89</v>
      </c>
      <c r="G4" s="80" t="s">
        <v>45</v>
      </c>
      <c r="H4" s="43" t="str">
        <f xml:space="preserve"> "Marginal Abatement Curve 2017" &amp; CHAR(10) &amp; "abatement opportunities"</f>
        <v>Marginal Abatement Curve 2017
abatement opportunities</v>
      </c>
    </row>
    <row r="5" spans="1:17">
      <c r="B5" s="97"/>
      <c r="C5" s="80" t="s">
        <v>94</v>
      </c>
      <c r="D5" s="76">
        <v>0.1</v>
      </c>
      <c r="F5" s="94"/>
      <c r="G5" s="80" t="s">
        <v>90</v>
      </c>
      <c r="H5" s="44" t="s">
        <v>92</v>
      </c>
      <c r="I5" s="87" t="s">
        <v>110</v>
      </c>
    </row>
    <row r="6" spans="1:17">
      <c r="B6" s="97"/>
      <c r="C6" s="80" t="s">
        <v>95</v>
      </c>
      <c r="D6" s="76">
        <v>0.1</v>
      </c>
      <c r="F6" s="95"/>
      <c r="G6" s="80" t="s">
        <v>91</v>
      </c>
      <c r="H6" s="44">
        <v>14</v>
      </c>
    </row>
    <row r="7" spans="1:17" ht="16.5" customHeight="1">
      <c r="B7" s="98"/>
      <c r="C7" s="80" t="s">
        <v>96</v>
      </c>
      <c r="D7" s="76">
        <v>0.1</v>
      </c>
      <c r="F7" s="93" t="s">
        <v>43</v>
      </c>
      <c r="G7" s="86" t="s">
        <v>45</v>
      </c>
      <c r="H7" s="43" t="s">
        <v>49</v>
      </c>
      <c r="J7" s="42"/>
      <c r="K7" s="42"/>
      <c r="L7" s="42"/>
      <c r="M7" s="42"/>
    </row>
    <row r="8" spans="1:17" ht="16.5" customHeight="1">
      <c r="B8" s="99" t="s">
        <v>106</v>
      </c>
      <c r="C8" s="80" t="s">
        <v>99</v>
      </c>
      <c r="D8" s="44">
        <v>540</v>
      </c>
      <c r="E8" s="87" t="s">
        <v>97</v>
      </c>
      <c r="F8" s="94"/>
      <c r="G8" s="80" t="s">
        <v>46</v>
      </c>
      <c r="H8" s="44">
        <v>-4000</v>
      </c>
    </row>
    <row r="9" spans="1:17">
      <c r="B9" s="100"/>
      <c r="C9" s="80" t="s">
        <v>100</v>
      </c>
      <c r="D9" s="44">
        <v>720</v>
      </c>
      <c r="E9" s="87" t="s">
        <v>98</v>
      </c>
      <c r="F9" s="94"/>
      <c r="G9" s="80" t="s">
        <v>47</v>
      </c>
      <c r="H9" s="44">
        <v>3000</v>
      </c>
    </row>
    <row r="10" spans="1:17" ht="22.5" customHeight="1">
      <c r="B10" s="99" t="s">
        <v>104</v>
      </c>
      <c r="C10" s="80" t="s">
        <v>93</v>
      </c>
      <c r="D10" s="76">
        <v>0.55000000000000004</v>
      </c>
      <c r="F10" s="94"/>
      <c r="G10" s="80" t="s">
        <v>48</v>
      </c>
      <c r="H10" s="44">
        <v>1000</v>
      </c>
    </row>
    <row r="11" spans="1:17" ht="16.5" customHeight="1">
      <c r="B11" s="101"/>
      <c r="C11" s="80" t="s">
        <v>102</v>
      </c>
      <c r="D11" s="76">
        <v>0.35</v>
      </c>
      <c r="F11" s="95"/>
      <c r="G11" s="80" t="s">
        <v>91</v>
      </c>
      <c r="H11" s="44">
        <v>7</v>
      </c>
    </row>
    <row r="12" spans="1:17">
      <c r="B12" s="100"/>
      <c r="C12" s="80" t="s">
        <v>103</v>
      </c>
      <c r="D12" s="77">
        <v>10</v>
      </c>
      <c r="F12" s="41" t="s">
        <v>44</v>
      </c>
      <c r="G12" s="80" t="s">
        <v>45</v>
      </c>
      <c r="H12" s="44" t="s">
        <v>50</v>
      </c>
    </row>
    <row r="13" spans="1:17" ht="16.5" customHeight="1">
      <c r="F13" s="75"/>
      <c r="G13" s="75"/>
      <c r="H13" s="75"/>
    </row>
    <row r="14" spans="1:17">
      <c r="C14" s="75"/>
      <c r="F14" s="75"/>
      <c r="G14" s="75"/>
      <c r="H14" s="75"/>
      <c r="J14" s="88" t="s">
        <v>114</v>
      </c>
    </row>
    <row r="15" spans="1:17">
      <c r="L15" t="s">
        <v>111</v>
      </c>
      <c r="M15" t="s">
        <v>112</v>
      </c>
      <c r="N15" t="s">
        <v>113</v>
      </c>
    </row>
    <row r="16" spans="1:17" ht="18" thickBot="1">
      <c r="A16" t="s">
        <v>32</v>
      </c>
      <c r="B16" s="45"/>
      <c r="J16" s="46" t="s">
        <v>86</v>
      </c>
      <c r="K16" s="46" t="s">
        <v>87</v>
      </c>
      <c r="L16" s="46">
        <v>167</v>
      </c>
      <c r="M16" s="46">
        <v>0</v>
      </c>
      <c r="N16" s="46">
        <v>80</v>
      </c>
      <c r="O16" s="61"/>
    </row>
    <row r="17" spans="1:15">
      <c r="A17" s="80" t="s">
        <v>101</v>
      </c>
      <c r="B17" s="80" t="s">
        <v>33</v>
      </c>
      <c r="C17" s="81" t="s">
        <v>18</v>
      </c>
      <c r="D17" s="82" t="s">
        <v>19</v>
      </c>
      <c r="E17" s="83" t="s">
        <v>53</v>
      </c>
      <c r="F17" s="84" t="s">
        <v>54</v>
      </c>
      <c r="G17" s="84" t="s">
        <v>55</v>
      </c>
      <c r="H17" s="85" t="s">
        <v>52</v>
      </c>
      <c r="J17" s="46" t="s">
        <v>56</v>
      </c>
      <c r="K17" s="46" t="s">
        <v>57</v>
      </c>
      <c r="L17" s="46">
        <v>240</v>
      </c>
      <c r="M17" s="46">
        <v>248</v>
      </c>
      <c r="N17" s="46">
        <v>255</v>
      </c>
      <c r="O17" s="47"/>
    </row>
    <row r="18" spans="1:15">
      <c r="A18" s="44" t="s">
        <v>34</v>
      </c>
      <c r="B18" s="41" t="s">
        <v>20</v>
      </c>
      <c r="C18" s="36">
        <v>11.38</v>
      </c>
      <c r="D18" s="37">
        <v>-3085</v>
      </c>
      <c r="E18" s="37">
        <v>240</v>
      </c>
      <c r="F18" s="37">
        <v>248</v>
      </c>
      <c r="G18" s="37">
        <v>255</v>
      </c>
      <c r="H18" s="63" t="s">
        <v>88</v>
      </c>
      <c r="J18" s="46" t="s">
        <v>58</v>
      </c>
      <c r="K18" s="46" t="s">
        <v>59</v>
      </c>
      <c r="L18" s="46">
        <v>250</v>
      </c>
      <c r="M18" s="46">
        <v>235</v>
      </c>
      <c r="N18" s="46">
        <v>215</v>
      </c>
      <c r="O18" s="48"/>
    </row>
    <row r="19" spans="1:15">
      <c r="A19" s="41" t="s">
        <v>35</v>
      </c>
      <c r="B19" s="41" t="s">
        <v>21</v>
      </c>
      <c r="C19" s="36">
        <v>21.86</v>
      </c>
      <c r="D19" s="37">
        <v>-1883</v>
      </c>
      <c r="E19" s="37">
        <v>250</v>
      </c>
      <c r="F19" s="37">
        <v>235</v>
      </c>
      <c r="G19" s="37">
        <v>215</v>
      </c>
      <c r="H19" s="64" t="s">
        <v>88</v>
      </c>
      <c r="J19" s="46" t="s">
        <v>60</v>
      </c>
      <c r="K19" s="46" t="s">
        <v>61</v>
      </c>
      <c r="L19" s="46">
        <v>255</v>
      </c>
      <c r="M19" s="46">
        <v>239</v>
      </c>
      <c r="N19" s="46">
        <v>219</v>
      </c>
      <c r="O19" s="49"/>
    </row>
    <row r="20" spans="1:15">
      <c r="A20" s="41" t="s">
        <v>36</v>
      </c>
      <c r="B20" s="41" t="s">
        <v>22</v>
      </c>
      <c r="C20" s="36">
        <v>30.65</v>
      </c>
      <c r="D20" s="39">
        <v>-435</v>
      </c>
      <c r="E20" s="37">
        <v>255</v>
      </c>
      <c r="F20" s="37">
        <v>239</v>
      </c>
      <c r="G20" s="37">
        <v>219</v>
      </c>
      <c r="H20" s="65" t="s">
        <v>88</v>
      </c>
      <c r="J20" s="46" t="s">
        <v>62</v>
      </c>
      <c r="K20" s="46" t="s">
        <v>63</v>
      </c>
      <c r="L20" s="46">
        <v>238</v>
      </c>
      <c r="M20" s="46">
        <v>223</v>
      </c>
      <c r="N20" s="46">
        <v>204</v>
      </c>
      <c r="O20" s="50"/>
    </row>
    <row r="21" spans="1:15">
      <c r="A21" s="41" t="s">
        <v>37</v>
      </c>
      <c r="B21" s="41" t="s">
        <v>23</v>
      </c>
      <c r="C21" s="36">
        <v>58.66</v>
      </c>
      <c r="D21" s="39">
        <v>-32</v>
      </c>
      <c r="E21" s="37">
        <v>238</v>
      </c>
      <c r="F21" s="37">
        <v>223</v>
      </c>
      <c r="G21" s="37">
        <v>204</v>
      </c>
      <c r="H21" s="66" t="s">
        <v>88</v>
      </c>
      <c r="J21" s="46" t="s">
        <v>64</v>
      </c>
      <c r="K21" s="46" t="s">
        <v>65</v>
      </c>
      <c r="L21" s="46">
        <v>205</v>
      </c>
      <c r="M21" s="46">
        <v>192</v>
      </c>
      <c r="N21" s="46">
        <v>176</v>
      </c>
      <c r="O21" s="51"/>
    </row>
    <row r="22" spans="1:15">
      <c r="A22" s="41" t="s">
        <v>38</v>
      </c>
      <c r="B22" s="41" t="s">
        <v>24</v>
      </c>
      <c r="C22" s="36">
        <v>40.770000000000003</v>
      </c>
      <c r="D22" s="39">
        <v>89</v>
      </c>
      <c r="E22" s="37">
        <v>205</v>
      </c>
      <c r="F22" s="37">
        <v>192</v>
      </c>
      <c r="G22" s="37">
        <v>176</v>
      </c>
      <c r="H22" s="67" t="s">
        <v>88</v>
      </c>
      <c r="J22" s="46" t="s">
        <v>66</v>
      </c>
      <c r="K22" s="46" t="s">
        <v>67</v>
      </c>
      <c r="L22" s="46">
        <v>139</v>
      </c>
      <c r="M22" s="46">
        <v>131</v>
      </c>
      <c r="N22" s="46">
        <v>120</v>
      </c>
      <c r="O22" s="52"/>
    </row>
    <row r="23" spans="1:15">
      <c r="A23" s="41" t="s">
        <v>39</v>
      </c>
      <c r="B23" s="41" t="s">
        <v>25</v>
      </c>
      <c r="C23" s="36">
        <v>23.18</v>
      </c>
      <c r="D23" s="39">
        <v>98</v>
      </c>
      <c r="E23" s="37">
        <v>139</v>
      </c>
      <c r="F23" s="37">
        <v>131</v>
      </c>
      <c r="G23" s="37">
        <v>120</v>
      </c>
      <c r="H23" s="68" t="s">
        <v>88</v>
      </c>
      <c r="J23" s="46" t="s">
        <v>68</v>
      </c>
      <c r="K23" s="46" t="s">
        <v>69</v>
      </c>
      <c r="L23" s="46">
        <v>0</v>
      </c>
      <c r="M23" s="46">
        <v>255</v>
      </c>
      <c r="N23" s="46">
        <v>255</v>
      </c>
      <c r="O23" s="53"/>
    </row>
    <row r="24" spans="1:15">
      <c r="A24" s="41" t="s">
        <v>40</v>
      </c>
      <c r="B24" s="41" t="s">
        <v>26</v>
      </c>
      <c r="C24" s="36">
        <v>15.54</v>
      </c>
      <c r="D24" s="39">
        <v>231</v>
      </c>
      <c r="E24" s="37">
        <v>0</v>
      </c>
      <c r="F24" s="37">
        <v>255</v>
      </c>
      <c r="G24" s="37">
        <v>255</v>
      </c>
      <c r="H24" s="69" t="s">
        <v>88</v>
      </c>
      <c r="J24" s="46" t="s">
        <v>70</v>
      </c>
      <c r="K24" s="46" t="s">
        <v>71</v>
      </c>
      <c r="L24" s="46">
        <v>127</v>
      </c>
      <c r="M24" s="46">
        <v>255</v>
      </c>
      <c r="N24" s="46">
        <v>212</v>
      </c>
      <c r="O24" s="54"/>
    </row>
    <row r="25" spans="1:15">
      <c r="A25" s="41" t="s">
        <v>41</v>
      </c>
      <c r="B25" s="41" t="s">
        <v>27</v>
      </c>
      <c r="C25" s="36">
        <v>60.78</v>
      </c>
      <c r="D25" s="39">
        <v>281</v>
      </c>
      <c r="E25" s="37">
        <v>127</v>
      </c>
      <c r="F25" s="37">
        <v>255</v>
      </c>
      <c r="G25" s="37">
        <v>212</v>
      </c>
      <c r="H25" s="70" t="s">
        <v>88</v>
      </c>
      <c r="J25" s="46" t="s">
        <v>72</v>
      </c>
      <c r="K25" s="46" t="s">
        <v>73</v>
      </c>
      <c r="L25" s="46">
        <v>118</v>
      </c>
      <c r="M25" s="46">
        <v>238</v>
      </c>
      <c r="N25" s="46">
        <v>198</v>
      </c>
      <c r="O25" s="55"/>
    </row>
    <row r="26" spans="1:15">
      <c r="A26" s="41" t="s">
        <v>42</v>
      </c>
      <c r="B26" s="41" t="s">
        <v>28</v>
      </c>
      <c r="C26" s="36">
        <v>23.98</v>
      </c>
      <c r="D26" s="39">
        <v>347</v>
      </c>
      <c r="E26" s="37">
        <v>118</v>
      </c>
      <c r="F26" s="37">
        <v>238</v>
      </c>
      <c r="G26" s="37">
        <v>198</v>
      </c>
      <c r="H26" s="71" t="s">
        <v>88</v>
      </c>
      <c r="J26" s="46" t="s">
        <v>74</v>
      </c>
      <c r="K26" s="46" t="s">
        <v>75</v>
      </c>
      <c r="L26" s="46">
        <v>102</v>
      </c>
      <c r="M26" s="46">
        <v>205</v>
      </c>
      <c r="N26" s="46">
        <v>170</v>
      </c>
      <c r="O26" s="56"/>
    </row>
    <row r="27" spans="1:15">
      <c r="A27" s="41" t="s">
        <v>40</v>
      </c>
      <c r="B27" s="41" t="s">
        <v>29</v>
      </c>
      <c r="C27" s="36">
        <v>50.72</v>
      </c>
      <c r="D27" s="39">
        <v>362</v>
      </c>
      <c r="E27" s="37">
        <v>102</v>
      </c>
      <c r="F27" s="37">
        <v>205</v>
      </c>
      <c r="G27" s="37">
        <v>170</v>
      </c>
      <c r="H27" s="72" t="s">
        <v>88</v>
      </c>
      <c r="J27" s="46" t="s">
        <v>76</v>
      </c>
      <c r="K27" s="46" t="s">
        <v>77</v>
      </c>
      <c r="L27" s="46">
        <v>69</v>
      </c>
      <c r="M27" s="46">
        <v>139</v>
      </c>
      <c r="N27" s="46">
        <v>116</v>
      </c>
      <c r="O27" s="57"/>
    </row>
    <row r="28" spans="1:15">
      <c r="A28" s="41" t="s">
        <v>40</v>
      </c>
      <c r="B28" s="41" t="s">
        <v>30</v>
      </c>
      <c r="C28" s="36">
        <v>40.19</v>
      </c>
      <c r="D28" s="37">
        <v>1576</v>
      </c>
      <c r="E28" s="37">
        <v>69</v>
      </c>
      <c r="F28" s="37">
        <v>139</v>
      </c>
      <c r="G28" s="37">
        <v>116</v>
      </c>
      <c r="H28" s="73" t="s">
        <v>88</v>
      </c>
      <c r="J28" s="46" t="s">
        <v>78</v>
      </c>
      <c r="K28" s="46" t="s">
        <v>79</v>
      </c>
      <c r="L28" s="46">
        <v>240</v>
      </c>
      <c r="M28" s="46">
        <v>255</v>
      </c>
      <c r="N28" s="46">
        <v>255</v>
      </c>
      <c r="O28" s="58"/>
    </row>
    <row r="29" spans="1:15">
      <c r="A29" s="41" t="s">
        <v>40</v>
      </c>
      <c r="B29" s="41" t="s">
        <v>31</v>
      </c>
      <c r="C29" s="36">
        <v>21.49</v>
      </c>
      <c r="D29" s="37">
        <v>2251</v>
      </c>
      <c r="E29" s="37">
        <v>240</v>
      </c>
      <c r="F29" s="37">
        <v>255</v>
      </c>
      <c r="G29" s="37">
        <v>255</v>
      </c>
      <c r="H29" s="74" t="s">
        <v>88</v>
      </c>
      <c r="J29" s="46" t="s">
        <v>80</v>
      </c>
      <c r="K29" s="46" t="s">
        <v>81</v>
      </c>
      <c r="L29" s="46">
        <v>224</v>
      </c>
      <c r="M29" s="46">
        <v>238</v>
      </c>
      <c r="N29" s="46">
        <v>238</v>
      </c>
      <c r="O29" s="59"/>
    </row>
    <row r="30" spans="1:15">
      <c r="C30">
        <f>SUM(C18:C29)</f>
        <v>399.2</v>
      </c>
      <c r="D30" s="40">
        <f>D29-D18</f>
        <v>5336</v>
      </c>
      <c r="J30" s="46" t="s">
        <v>82</v>
      </c>
      <c r="K30" s="46" t="s">
        <v>83</v>
      </c>
      <c r="L30" s="46">
        <v>193</v>
      </c>
      <c r="M30" s="46">
        <v>205</v>
      </c>
      <c r="N30" s="46">
        <v>205</v>
      </c>
      <c r="O30" s="60"/>
    </row>
    <row r="31" spans="1:15">
      <c r="J31" s="46" t="s">
        <v>84</v>
      </c>
      <c r="K31" s="46" t="s">
        <v>85</v>
      </c>
      <c r="L31" s="46">
        <v>131</v>
      </c>
      <c r="M31" s="46">
        <v>139</v>
      </c>
      <c r="N31" s="46">
        <v>139</v>
      </c>
      <c r="O31" s="62"/>
    </row>
  </sheetData>
  <mergeCells count="6">
    <mergeCell ref="B1:G1"/>
    <mergeCell ref="F4:F6"/>
    <mergeCell ref="F7:F11"/>
    <mergeCell ref="B4:B7"/>
    <mergeCell ref="B8:B9"/>
    <mergeCell ref="B10:B12"/>
  </mergeCells>
  <phoneticPr fontId="5" type="noConversion"/>
  <hyperlinks>
    <hyperlink ref="J14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_background_color_Click">
                <anchor moveWithCells="1" sizeWithCells="1">
                  <from>
                    <xdr:col>4</xdr:col>
                    <xdr:colOff>7620</xdr:colOff>
                    <xdr:row>14</xdr:row>
                    <xdr:rowOff>121920</xdr:rowOff>
                  </from>
                  <to>
                    <xdr:col>8</xdr:col>
                    <xdr:colOff>0</xdr:colOff>
                    <xdr:row>15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9:E20"/>
  <sheetViews>
    <sheetView workbookViewId="0">
      <selection activeCell="G12" sqref="G12"/>
    </sheetView>
  </sheetViews>
  <sheetFormatPr defaultRowHeight="17.399999999999999"/>
  <cols>
    <col min="1" max="1" width="9" customWidth="1"/>
  </cols>
  <sheetData>
    <row r="19" spans="5:5">
      <c r="E19" s="78" t="s">
        <v>107</v>
      </c>
    </row>
    <row r="20" spans="5:5">
      <c r="E20" s="79" t="s">
        <v>108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22</vt:i4>
      </vt:variant>
    </vt:vector>
  </HeadingPairs>
  <TitlesOfParts>
    <vt:vector size="26" baseType="lpstr">
      <vt:lpstr>MACC예제</vt:lpstr>
      <vt:lpstr>Sheet1</vt:lpstr>
      <vt:lpstr>MACC_input</vt:lpstr>
      <vt:lpstr>Sheet3</vt:lpstr>
      <vt:lpstr>is_short</vt:lpstr>
      <vt:lpstr>legend_fontsize</vt:lpstr>
      <vt:lpstr>legend_left</vt:lpstr>
      <vt:lpstr>legend_top</vt:lpstr>
      <vt:lpstr>m_bottom</vt:lpstr>
      <vt:lpstr>m_left</vt:lpstr>
      <vt:lpstr>m_right</vt:lpstr>
      <vt:lpstr>m_top</vt:lpstr>
      <vt:lpstr>MACC_title</vt:lpstr>
      <vt:lpstr>MACC_title_fontsize</vt:lpstr>
      <vt:lpstr>MACC_title_location</vt:lpstr>
      <vt:lpstr>no_of_technique</vt:lpstr>
      <vt:lpstr>ppt_file_name</vt:lpstr>
      <vt:lpstr>ppt_height</vt:lpstr>
      <vt:lpstr>ppt_width</vt:lpstr>
      <vt:lpstr>start_of_tech</vt:lpstr>
      <vt:lpstr>x_label</vt:lpstr>
      <vt:lpstr>y_fontsize</vt:lpstr>
      <vt:lpstr>y_interval</vt:lpstr>
      <vt:lpstr>y_label</vt:lpstr>
      <vt:lpstr>y_max</vt:lpstr>
      <vt:lpstr>y_min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</dc:creator>
  <cp:lastModifiedBy>kim</cp:lastModifiedBy>
  <dcterms:created xsi:type="dcterms:W3CDTF">2013-11-15T07:12:05Z</dcterms:created>
  <dcterms:modified xsi:type="dcterms:W3CDTF">2017-01-04T07:38:23Z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91150224208831</vt:r8>
  </property>
</Properties>
</file>